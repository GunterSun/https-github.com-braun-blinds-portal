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8900" tabRatio="600" firstSheet="0" activeTab="0" autoFilterDateGrouping="1"/>
  </bookViews>
  <sheets>
    <sheet xmlns:r="http://schemas.openxmlformats.org/officeDocument/2006/relationships" name="Commerce订单汇总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_ * #,##0.00_ ;_ * \-#,##0.00_ ;_ * &quot;-&quot;??_ ;_ @_ "/>
    <numFmt numFmtId="166" formatCode="_ * #,##0_ ;_ * \-#,##0_ ;_ * &quot;-&quot;_ ;_ @_ "/>
  </numFmts>
  <fonts count="40">
    <font>
      <name val="Verdana"/>
      <charset val="134"/>
      <sz val="10"/>
    </font>
    <font>
      <name val="Georgia"/>
      <charset val="134"/>
      <b val="1"/>
      <color rgb="FFFFFFFF"/>
      <sz val="16"/>
    </font>
    <font>
      <name val="Arial"/>
      <charset val="134"/>
      <i val="1"/>
      <color rgb="FF2F2E2C"/>
      <sz val="10"/>
    </font>
    <font>
      <name val="Arial"/>
      <charset val="134"/>
      <b val="1"/>
      <color rgb="FFFFFFFF"/>
      <sz val="10"/>
    </font>
    <font>
      <name val="宋体-简"/>
      <charset val="134"/>
      <b val="1"/>
      <color rgb="FFFFFFFF"/>
      <sz val="10"/>
    </font>
    <font>
      <name val="Arial"/>
      <charset val="134"/>
      <b val="1"/>
      <sz val="10"/>
    </font>
    <font>
      <name val="Arial"/>
      <charset val="134"/>
      <sz val="10"/>
    </font>
    <font>
      <name val="Arial"/>
      <charset val="134"/>
      <b val="1"/>
      <color rgb="FFB55A30"/>
      <sz val="10"/>
    </font>
    <font>
      <name val="宋体-简"/>
      <charset val="134"/>
      <b val="1"/>
      <color rgb="FF2E7D32"/>
      <sz val="9"/>
    </font>
    <font>
      <name val="Verdana"/>
      <charset val="134"/>
      <color rgb="FF000000"/>
      <sz val="10"/>
    </font>
    <font>
      <name val="宋体-简"/>
      <charset val="134"/>
      <b val="1"/>
      <color rgb="FFB55A30"/>
      <sz val="10"/>
    </font>
    <font>
      <name val="宋体-简"/>
      <charset val="134"/>
      <b val="1"/>
      <sz val="10"/>
    </font>
    <font>
      <name val="Arial"/>
      <charset val="134"/>
      <b val="1"/>
      <color rgb="FF1565C0"/>
      <sz val="9"/>
    </font>
    <font>
      <name val="Arial"/>
      <charset val="134"/>
      <b val="1"/>
      <sz val="11"/>
    </font>
    <font>
      <name val="Arial"/>
      <charset val="134"/>
      <sz val="11"/>
    </font>
    <font>
      <name val="Arial"/>
      <charset val="134"/>
      <b val="1"/>
      <color rgb="FFB55A30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-简"/>
      <charset val="134"/>
      <color rgb="FF000000"/>
      <sz val="10"/>
    </font>
    <font>
      <name val="Arial"/>
      <charset val="134"/>
      <b val="1"/>
      <color rgb="FFFFFFFF"/>
      <sz val="16"/>
    </font>
    <font>
      <name val="Arial"/>
      <charset val="134"/>
      <b val="1"/>
      <color rgb="FF2E7D32"/>
      <sz val="9"/>
    </font>
    <font>
      <name val="Arial"/>
      <charset val="134"/>
      <color rgb="FF000000"/>
      <sz val="10"/>
    </font>
  </fonts>
  <fills count="4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55A30"/>
        <bgColor indexed="64"/>
      </patternFill>
    </fill>
    <fill>
      <patternFill patternType="solid">
        <fgColor rgb="FFFDFBF7"/>
        <bgColor indexed="64"/>
      </patternFill>
    </fill>
    <fill>
      <patternFill patternType="solid">
        <fgColor rgb="FF5F6F5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4F1E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</borders>
  <cellStyleXfs count="49">
    <xf numFmtId="0" fontId="0" fillId="0" borderId="0"/>
    <xf numFmtId="165" fontId="16" fillId="0" borderId="0" applyAlignment="1">
      <alignment vertical="center"/>
    </xf>
    <xf numFmtId="44" fontId="16" fillId="0" borderId="0" applyAlignment="1">
      <alignment vertical="center"/>
    </xf>
    <xf numFmtId="9" fontId="16" fillId="0" borderId="0" applyAlignment="1">
      <alignment vertical="center"/>
    </xf>
    <xf numFmtId="166" fontId="16" fillId="0" borderId="0" applyAlignment="1">
      <alignment vertical="center"/>
    </xf>
    <xf numFmtId="42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6" fillId="17" borderId="5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24" fillId="0" borderId="7" applyAlignment="1">
      <alignment vertical="center"/>
    </xf>
    <xf numFmtId="0" fontId="24" fillId="0" borderId="0" applyAlignment="1">
      <alignment vertical="center"/>
    </xf>
    <xf numFmtId="0" fontId="25" fillId="18" borderId="8" applyAlignment="1">
      <alignment vertical="center"/>
    </xf>
    <xf numFmtId="0" fontId="26" fillId="19" borderId="9" applyAlignment="1">
      <alignment vertical="center"/>
    </xf>
    <xf numFmtId="0" fontId="27" fillId="19" borderId="8" applyAlignment="1">
      <alignment vertical="center"/>
    </xf>
    <xf numFmtId="0" fontId="28" fillId="20" borderId="10" applyAlignment="1">
      <alignment vertical="center"/>
    </xf>
    <xf numFmtId="0" fontId="29" fillId="0" borderId="11" applyAlignment="1">
      <alignment vertical="center"/>
    </xf>
    <xf numFmtId="0" fontId="30" fillId="0" borderId="12" applyAlignment="1">
      <alignment vertical="center"/>
    </xf>
    <xf numFmtId="0" fontId="31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4" fillId="6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4" fillId="26" borderId="0" applyAlignment="1">
      <alignment vertical="center"/>
    </xf>
    <xf numFmtId="0" fontId="34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4" fillId="30" borderId="0" applyAlignment="1">
      <alignment vertical="center"/>
    </xf>
    <xf numFmtId="0" fontId="34" fillId="13" borderId="0" applyAlignment="1">
      <alignment vertical="center"/>
    </xf>
    <xf numFmtId="0" fontId="35" fillId="31" borderId="0" applyAlignment="1">
      <alignment vertical="center"/>
    </xf>
    <xf numFmtId="0" fontId="35" fillId="32" borderId="0" applyAlignment="1">
      <alignment vertical="center"/>
    </xf>
    <xf numFmtId="0" fontId="34" fillId="33" borderId="0" applyAlignment="1">
      <alignment vertical="center"/>
    </xf>
    <xf numFmtId="0" fontId="34" fillId="34" borderId="0" applyAlignment="1">
      <alignment vertical="center"/>
    </xf>
    <xf numFmtId="0" fontId="35" fillId="35" borderId="0" applyAlignment="1">
      <alignment vertical="center"/>
    </xf>
    <xf numFmtId="0" fontId="35" fillId="36" borderId="0" applyAlignment="1">
      <alignment vertical="center"/>
    </xf>
    <xf numFmtId="0" fontId="34" fillId="37" borderId="0" applyAlignment="1">
      <alignment vertical="center"/>
    </xf>
    <xf numFmtId="0" fontId="34" fillId="38" borderId="0" applyAlignment="1">
      <alignment vertical="center"/>
    </xf>
    <xf numFmtId="0" fontId="35" fillId="39" borderId="0" applyAlignment="1">
      <alignment vertical="center"/>
    </xf>
    <xf numFmtId="0" fontId="35" fillId="40" borderId="0" applyAlignment="1">
      <alignment vertical="center"/>
    </xf>
    <xf numFmtId="0" fontId="34" fillId="41" borderId="0" applyAlignment="1">
      <alignment vertical="center"/>
    </xf>
    <xf numFmtId="0" fontId="34" fillId="42" borderId="0" applyAlignment="1">
      <alignment vertical="center"/>
    </xf>
    <xf numFmtId="0" fontId="35" fillId="43" borderId="0" applyAlignment="1">
      <alignment vertical="center"/>
    </xf>
    <xf numFmtId="0" fontId="35" fillId="44" borderId="0" applyAlignment="1">
      <alignment vertical="center"/>
    </xf>
    <xf numFmtId="0" fontId="34" fillId="45" borderId="0" applyAlignment="1">
      <alignment vertical="center"/>
    </xf>
  </cellStyleXfs>
  <cellXfs count="113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5" fillId="4" borderId="2" applyAlignment="1" pivotButton="0" quotePrefix="0" xfId="0">
      <alignment horizontal="left"/>
    </xf>
    <xf numFmtId="0" fontId="5" fillId="7" borderId="2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2" applyAlignment="1" pivotButton="0" quotePrefix="0" xfId="0">
      <alignment horizontal="center"/>
    </xf>
    <xf numFmtId="164" fontId="7" fillId="4" borderId="2" applyAlignment="1" pivotButton="0" quotePrefix="0" xfId="0">
      <alignment horizontal="right"/>
    </xf>
    <xf numFmtId="0" fontId="8" fillId="4" borderId="2" applyAlignment="1" pivotButton="0" quotePrefix="0" xfId="0">
      <alignment horizontal="center"/>
    </xf>
    <xf numFmtId="0" fontId="5" fillId="8" borderId="2" applyAlignment="1" pivotButton="0" quotePrefix="0" xfId="0">
      <alignment horizontal="left"/>
    </xf>
    <xf numFmtId="0" fontId="5" fillId="9" borderId="2" applyAlignment="1" pivotButton="0" quotePrefix="0" xfId="0">
      <alignment horizontal="left"/>
    </xf>
    <xf numFmtId="0" fontId="6" fillId="9" borderId="2" applyAlignment="1" pivotButton="0" quotePrefix="0" xfId="0">
      <alignment horizontal="left"/>
    </xf>
    <xf numFmtId="0" fontId="6" fillId="9" borderId="2" applyAlignment="1" pivotButton="0" quotePrefix="0" xfId="0">
      <alignment horizontal="center"/>
    </xf>
    <xf numFmtId="164" fontId="7" fillId="9" borderId="2" applyAlignment="1" pivotButton="0" quotePrefix="0" xfId="0">
      <alignment horizontal="right"/>
    </xf>
    <xf numFmtId="164" fontId="7" fillId="10" borderId="2" applyAlignment="1" pivotButton="0" quotePrefix="0" xfId="0">
      <alignment horizontal="right"/>
    </xf>
    <xf numFmtId="164" fontId="7" fillId="2" borderId="2" applyAlignment="1" pivotButton="0" quotePrefix="0" xfId="0">
      <alignment horizontal="right"/>
    </xf>
    <xf numFmtId="3" fontId="5" fillId="9" borderId="2" applyAlignment="1" pivotButton="0" quotePrefix="0" xfId="0">
      <alignment horizontal="left"/>
    </xf>
    <xf numFmtId="0" fontId="9" fillId="0" borderId="3" pivotButton="0" quotePrefix="0" xfId="0"/>
    <xf numFmtId="0" fontId="5" fillId="9" borderId="3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0" fontId="6" fillId="2" borderId="2" applyAlignment="1" pivotButton="0" quotePrefix="0" xfId="0">
      <alignment horizontal="left"/>
    </xf>
    <xf numFmtId="0" fontId="6" fillId="2" borderId="2" applyAlignment="1" pivotButton="0" quotePrefix="0" xfId="0">
      <alignment horizontal="center"/>
    </xf>
    <xf numFmtId="0" fontId="5" fillId="10" borderId="2" applyAlignment="1" pivotButton="0" quotePrefix="0" xfId="0">
      <alignment horizontal="left"/>
    </xf>
    <xf numFmtId="0" fontId="0" fillId="11" borderId="0" pivotButton="0" quotePrefix="0" xfId="0"/>
    <xf numFmtId="0" fontId="0" fillId="12" borderId="0" pivotButton="0" quotePrefix="0" xfId="0"/>
    <xf numFmtId="0" fontId="5" fillId="13" borderId="2" applyAlignment="1" pivotButton="0" quotePrefix="0" xfId="0">
      <alignment horizontal="left"/>
    </xf>
    <xf numFmtId="0" fontId="6" fillId="13" borderId="2" applyAlignment="1" pivotButton="0" quotePrefix="0" xfId="0">
      <alignment horizontal="left"/>
    </xf>
    <xf numFmtId="0" fontId="6" fillId="13" borderId="2" applyAlignment="1" pivotButton="0" quotePrefix="0" xfId="0">
      <alignment horizontal="center"/>
    </xf>
    <xf numFmtId="164" fontId="7" fillId="13" borderId="2" applyAlignment="1" pivotButton="0" quotePrefix="0" xfId="0">
      <alignment horizontal="right"/>
    </xf>
    <xf numFmtId="164" fontId="10" fillId="14" borderId="2" applyAlignment="1" pivotButton="0" quotePrefix="0" xfId="0">
      <alignment horizontal="right"/>
    </xf>
    <xf numFmtId="164" fontId="7" fillId="14" borderId="2" applyAlignment="1" pivotButton="0" quotePrefix="0" xfId="0">
      <alignment horizontal="right"/>
    </xf>
    <xf numFmtId="0" fontId="5" fillId="15" borderId="2" applyAlignment="1" pivotButton="0" quotePrefix="0" xfId="0">
      <alignment horizontal="left"/>
    </xf>
    <xf numFmtId="0" fontId="6" fillId="15" borderId="2" applyAlignment="1" pivotButton="0" quotePrefix="0" xfId="0">
      <alignment horizontal="left"/>
    </xf>
    <xf numFmtId="0" fontId="6" fillId="15" borderId="2" applyAlignment="1" pivotButton="0" quotePrefix="0" xfId="0">
      <alignment horizontal="center"/>
    </xf>
    <xf numFmtId="164" fontId="7" fillId="15" borderId="2" applyAlignment="1" pivotButton="0" quotePrefix="0" xfId="0">
      <alignment horizontal="right"/>
    </xf>
    <xf numFmtId="0" fontId="11" fillId="15" borderId="2" applyAlignment="1" pivotButton="0" quotePrefix="0" xfId="0">
      <alignment horizontal="left"/>
    </xf>
    <xf numFmtId="0" fontId="12" fillId="15" borderId="2" applyAlignment="1" pivotButton="0" quotePrefix="0" xfId="0">
      <alignment horizontal="center"/>
    </xf>
    <xf numFmtId="0" fontId="5" fillId="15" borderId="0" applyAlignment="1" pivotButton="0" quotePrefix="0" xfId="0">
      <alignment horizontal="left"/>
    </xf>
    <xf numFmtId="0" fontId="6" fillId="15" borderId="0" applyAlignment="1" pivotButton="0" quotePrefix="0" xfId="0">
      <alignment horizontal="left"/>
    </xf>
    <xf numFmtId="0" fontId="6" fillId="15" borderId="0" applyAlignment="1" pivotButton="0" quotePrefix="0" xfId="0">
      <alignment horizontal="center"/>
    </xf>
    <xf numFmtId="164" fontId="7" fillId="15" borderId="0" applyAlignment="1" pivotButton="0" quotePrefix="0" xfId="0">
      <alignment horizontal="right"/>
    </xf>
    <xf numFmtId="0" fontId="12" fillId="15" borderId="0" applyAlignment="1" pivotButton="0" quotePrefix="0" xfId="0">
      <alignment horizontal="center"/>
    </xf>
    <xf numFmtId="0" fontId="13" fillId="16" borderId="4" applyAlignment="1" pivotButton="0" quotePrefix="0" xfId="0">
      <alignment horizontal="right"/>
    </xf>
    <xf numFmtId="0" fontId="14" fillId="16" borderId="4" pivotButton="0" quotePrefix="0" xfId="0"/>
    <xf numFmtId="164" fontId="15" fillId="16" borderId="4" applyAlignment="1" pivotButton="0" quotePrefix="0" xfId="0">
      <alignment horizontal="right"/>
    </xf>
    <xf numFmtId="0" fontId="6" fillId="0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164" fontId="5" fillId="7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164" fontId="7" fillId="4" borderId="2" applyAlignment="1" pivotButton="0" quotePrefix="0" xfId="0">
      <alignment horizontal="right" vertical="center"/>
    </xf>
    <xf numFmtId="0" fontId="38" fillId="4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 wrapText="1"/>
    </xf>
    <xf numFmtId="164" fontId="6" fillId="9" borderId="2" applyAlignment="1" pivotButton="0" quotePrefix="0" xfId="0">
      <alignment horizontal="right" vertical="center"/>
    </xf>
    <xf numFmtId="0" fontId="6" fillId="9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center" vertical="center"/>
    </xf>
    <xf numFmtId="164" fontId="7" fillId="9" borderId="2" applyAlignment="1" pivotButton="0" quotePrefix="0" xfId="0">
      <alignment horizontal="right" vertical="center"/>
    </xf>
    <xf numFmtId="164" fontId="7" fillId="10" borderId="2" applyAlignment="1" pivotButton="0" quotePrefix="0" xfId="0">
      <alignment horizontal="right" vertical="center"/>
    </xf>
    <xf numFmtId="164" fontId="7" fillId="2" borderId="2" applyAlignment="1" pivotButton="0" quotePrefix="0" xfId="0">
      <alignment horizontal="right" vertical="center"/>
    </xf>
    <xf numFmtId="0" fontId="5" fillId="7" borderId="2" applyAlignment="1" pivotButton="0" quotePrefix="0" xfId="0">
      <alignment horizontal="left" vertical="center"/>
    </xf>
    <xf numFmtId="3" fontId="5" fillId="9" borderId="2" applyAlignment="1" pivotButton="0" quotePrefix="0" xfId="0">
      <alignment horizontal="left" vertical="center" wrapText="1"/>
    </xf>
    <xf numFmtId="0" fontId="39" fillId="0" borderId="3" applyAlignment="1" pivotButton="0" quotePrefix="0" xfId="0">
      <alignment vertical="center" wrapText="1"/>
    </xf>
    <xf numFmtId="0" fontId="5" fillId="9" borderId="3" applyAlignment="1" pivotButton="0" quotePrefix="0" xfId="0">
      <alignment horizontal="left" vertical="center" wrapText="1"/>
    </xf>
    <xf numFmtId="164" fontId="5" fillId="9" borderId="2" applyAlignment="1" pivotButton="0" quotePrefix="0" xfId="0">
      <alignment horizontal="right" vertical="center"/>
    </xf>
    <xf numFmtId="0" fontId="5" fillId="2" borderId="2" applyAlignment="1" pivotButton="0" quotePrefix="0" xfId="0">
      <alignment horizontal="left" vertical="center"/>
    </xf>
    <xf numFmtId="164" fontId="5" fillId="2" borderId="2" applyAlignment="1" pivotButton="0" quotePrefix="0" xfId="0">
      <alignment horizontal="right" vertical="center"/>
    </xf>
    <xf numFmtId="0" fontId="5" fillId="2" borderId="2" applyAlignment="1" pivotButton="0" quotePrefix="0" xfId="0">
      <alignment horizontal="left" vertical="center" wrapText="1"/>
    </xf>
    <xf numFmtId="164" fontId="6" fillId="2" borderId="2" applyAlignment="1" pivotButton="0" quotePrefix="0" xfId="0">
      <alignment horizontal="right" vertical="center"/>
    </xf>
    <xf numFmtId="0" fontId="6" fillId="2" borderId="2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left" vertical="center"/>
    </xf>
    <xf numFmtId="0" fontId="6" fillId="11" borderId="0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center" vertical="center"/>
    </xf>
    <xf numFmtId="0" fontId="5" fillId="13" borderId="2" applyAlignment="1" pivotButton="0" quotePrefix="0" xfId="0">
      <alignment horizontal="left" vertical="center"/>
    </xf>
    <xf numFmtId="0" fontId="5" fillId="13" borderId="2" applyAlignment="1" pivotButton="0" quotePrefix="0" xfId="0">
      <alignment horizontal="left" vertical="center" wrapText="1"/>
    </xf>
    <xf numFmtId="0" fontId="6" fillId="13" borderId="2" applyAlignment="1" pivotButton="0" quotePrefix="0" xfId="0">
      <alignment horizontal="left" vertical="center"/>
    </xf>
    <xf numFmtId="0" fontId="6" fillId="13" borderId="2" applyAlignment="1" pivotButton="0" quotePrefix="0" xfId="0">
      <alignment horizontal="center" vertical="center"/>
    </xf>
    <xf numFmtId="164" fontId="7" fillId="13" borderId="2" applyAlignment="1" pivotButton="0" quotePrefix="0" xfId="0">
      <alignment horizontal="right" vertical="center"/>
    </xf>
    <xf numFmtId="164" fontId="7" fillId="14" borderId="2" applyAlignment="1" pivotButton="0" quotePrefix="0" xfId="0">
      <alignment horizontal="right" vertical="center"/>
    </xf>
    <xf numFmtId="0" fontId="5" fillId="15" borderId="2" applyAlignment="1" pivotButton="0" quotePrefix="0" xfId="0">
      <alignment horizontal="left" vertical="center" wrapText="1"/>
    </xf>
    <xf numFmtId="0" fontId="6" fillId="15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center" vertical="center"/>
    </xf>
    <xf numFmtId="164" fontId="7" fillId="15" borderId="2" applyAlignment="1" pivotButton="0" quotePrefix="0" xfId="0">
      <alignment horizontal="right" vertical="center"/>
    </xf>
    <xf numFmtId="0" fontId="5" fillId="15" borderId="2" applyAlignment="1" pivotButton="0" quotePrefix="0" xfId="0">
      <alignment horizontal="left" vertical="center"/>
    </xf>
    <xf numFmtId="164" fontId="5" fillId="15" borderId="2" applyAlignment="1" pivotButton="0" quotePrefix="0" xfId="0">
      <alignment horizontal="right" vertical="center"/>
    </xf>
    <xf numFmtId="164" fontId="6" fillId="15" borderId="2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5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/>
    </xf>
    <xf numFmtId="0" fontId="6" fillId="15" borderId="0" applyAlignment="1" pivotButton="0" quotePrefix="0" xfId="0">
      <alignment horizontal="center" vertical="center"/>
    </xf>
    <xf numFmtId="164" fontId="7" fillId="15" borderId="0" applyAlignment="1" pivotButton="0" quotePrefix="0" xfId="0">
      <alignment horizontal="right" vertical="center"/>
    </xf>
    <xf numFmtId="0" fontId="12" fillId="15" borderId="0" applyAlignment="1" pivotButton="0" quotePrefix="0" xfId="0">
      <alignment horizontal="center" vertical="center"/>
    </xf>
    <xf numFmtId="0" fontId="13" fillId="16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164" fontId="15" fillId="16" borderId="4" applyAlignment="1" pivotButton="0" quotePrefix="0" xfId="0">
      <alignment horizontal="right" vertical="center"/>
    </xf>
    <xf numFmtId="0" fontId="14" fillId="16" borderId="4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tabSelected="1" zoomScale="180" zoomScaleNormal="180" workbookViewId="0">
      <selection activeCell="I3" sqref="I3"/>
    </sheetView>
  </sheetViews>
  <sheetFormatPr baseColWidth="8" defaultColWidth="8.4375" defaultRowHeight="15.2"/>
  <cols>
    <col width="8" customWidth="1" min="1" max="1"/>
    <col width="14" customWidth="1" min="2" max="2"/>
    <col width="14" customWidth="1" min="3" max="3"/>
    <col width="45" customWidth="1" min="4" max="4"/>
    <col width="14" customWidth="1" min="5" max="5"/>
    <col width="52" customWidth="1" min="6" max="6"/>
    <col hidden="1" width="27" customWidth="1" min="7" max="7"/>
    <col hidden="1" width="19" customWidth="1" min="8" max="8"/>
    <col width="13" customWidth="1" min="9" max="9"/>
    <col width="17" customWidth="1" min="10" max="10"/>
    <col width="23" customWidth="1" min="11" max="11"/>
    <col width="10" customWidth="1" min="12" max="12"/>
  </cols>
  <sheetData>
    <row r="1" ht="38" customHeight="1">
      <c r="A1" s="49" t="n"/>
      <c r="B1" s="50" t="inlineStr">
        <is>
          <t>Braun Blinds - Commerce (CWF) 订单与账单核对汇总表</t>
        </is>
      </c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</row>
    <row r="2" ht="24" customHeight="1">
      <c r="A2" s="49" t="n"/>
      <c r="B2" s="51" t="inlineStr">
        <is>
          <t>生成时间: 2026-06-16 17:46:03  |  总订单笔数: 55  |  总结算金额: $37206.96</t>
        </is>
      </c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</row>
    <row r="3" ht="15" customHeight="1">
      <c r="A3" s="49" t="n"/>
      <c r="B3" s="52" t="n"/>
      <c r="C3" s="52" t="n"/>
      <c r="D3" s="52" t="n"/>
      <c r="E3" s="52" t="n"/>
      <c r="F3" s="52" t="n"/>
      <c r="G3" s="52" t="n"/>
      <c r="H3" s="49" t="n"/>
      <c r="I3" s="49" t="n"/>
      <c r="J3" s="52" t="n"/>
      <c r="K3" s="52" t="n"/>
      <c r="L3" s="49" t="n"/>
    </row>
    <row r="4" ht="28" customHeight="1">
      <c r="A4" s="49" t="inlineStr">
        <is>
          <t>序号</t>
        </is>
      </c>
      <c r="B4" s="53" t="inlineStr">
        <is>
          <t>PO号</t>
        </is>
      </c>
      <c r="C4" s="53" t="inlineStr">
        <is>
          <t>以前发邮件</t>
        </is>
      </c>
      <c r="D4" s="53" t="n"/>
      <c r="E4" s="53" t="inlineStr">
        <is>
          <t>已到账金额</t>
        </is>
      </c>
      <c r="F4" s="53" t="inlineStr">
        <is>
          <t>客户名字 (Dealer)</t>
        </is>
      </c>
      <c r="G4" s="53" t="inlineStr">
        <is>
          <t>项目代号 (Sidemark)</t>
        </is>
      </c>
      <c r="H4" s="53" t="inlineStr">
        <is>
          <t>产品类型</t>
        </is>
      </c>
      <c r="I4" s="53" t="inlineStr">
        <is>
          <t>数量 (Qty)</t>
        </is>
      </c>
      <c r="J4" s="53" t="inlineStr">
        <is>
          <t>结算金额 (USD)</t>
        </is>
      </c>
      <c r="K4" s="53" t="inlineStr">
        <is>
          <t>差额</t>
        </is>
      </c>
      <c r="L4" s="53" t="inlineStr">
        <is>
          <t>汇款</t>
        </is>
      </c>
    </row>
    <row r="5" ht="22" customHeight="1">
      <c r="A5" s="54" t="n">
        <v>1</v>
      </c>
      <c r="B5" s="55" t="inlineStr">
        <is>
          <t>CWF 67835</t>
        </is>
      </c>
      <c r="C5" s="56" t="n">
        <v>915.28</v>
      </c>
      <c r="D5" s="57" t="n"/>
      <c r="E5" s="58" t="n"/>
      <c r="F5" s="58" t="inlineStr">
        <is>
          <t>Rodeo Blinds</t>
        </is>
      </c>
      <c r="G5" s="58" t="inlineStr">
        <is>
          <t>Liz</t>
        </is>
      </c>
      <c r="H5" s="59" t="inlineStr">
        <is>
          <t>布艺帘 (Drapery)</t>
        </is>
      </c>
      <c r="I5" s="59" t="n">
        <v>2</v>
      </c>
      <c r="J5" s="60" t="n">
        <v>845.92</v>
      </c>
      <c r="K5" s="60">
        <f>C5-J5</f>
        <v/>
      </c>
      <c r="L5" s="61" t="inlineStr">
        <is>
          <t>已汇款</t>
        </is>
      </c>
    </row>
    <row r="6" ht="22" customHeight="1">
      <c r="A6" s="54" t="n">
        <v>2</v>
      </c>
      <c r="B6" s="55" t="inlineStr">
        <is>
          <t>CWF 68281</t>
        </is>
      </c>
      <c r="C6" s="62" t="n"/>
      <c r="D6" s="57" t="n"/>
      <c r="E6" s="58" t="n"/>
      <c r="F6" s="58" t="inlineStr">
        <is>
          <t>Blinds&amp;Style</t>
        </is>
      </c>
      <c r="G6" s="58" t="inlineStr">
        <is>
          <t>Brian(Roman)NPB 060926</t>
        </is>
      </c>
      <c r="H6" s="59" t="inlineStr">
        <is>
          <t>罗马帘 (Roman)</t>
        </is>
      </c>
      <c r="I6" s="59" t="n">
        <v>21</v>
      </c>
      <c r="J6" s="60" t="n">
        <v>1968.02</v>
      </c>
      <c r="K6" s="60" t="n"/>
      <c r="L6" s="61" t="inlineStr">
        <is>
          <t>已汇款</t>
        </is>
      </c>
    </row>
    <row r="7" ht="22" customHeight="1">
      <c r="A7" s="54" t="n">
        <v>4</v>
      </c>
      <c r="B7" s="63" t="inlineStr">
        <is>
          <t>CWF 67581</t>
        </is>
      </c>
      <c r="C7" s="56" t="n">
        <v>1305.51</v>
      </c>
      <c r="D7" s="64" t="inlineStr">
        <is>
          <t>1837.32（80，67581，67599）</t>
        </is>
      </c>
      <c r="E7" s="65" t="n">
        <v>1837.32</v>
      </c>
      <c r="F7" s="66" t="inlineStr">
        <is>
          <t>Blinds America</t>
        </is>
      </c>
      <c r="G7" s="66" t="inlineStr">
        <is>
          <t>Bailey</t>
        </is>
      </c>
      <c r="H7" s="67" t="inlineStr">
        <is>
          <t>罗马帘 (Roman)</t>
        </is>
      </c>
      <c r="I7" s="67" t="n">
        <v>13</v>
      </c>
      <c r="J7" s="68" t="n">
        <v>1185.51</v>
      </c>
      <c r="K7" s="60">
        <f>C7-J7</f>
        <v/>
      </c>
      <c r="L7" s="61" t="inlineStr">
        <is>
          <t>已汇款</t>
        </is>
      </c>
    </row>
    <row r="8" ht="22" customHeight="1">
      <c r="A8" s="54" t="n">
        <v>5</v>
      </c>
      <c r="B8" s="63" t="inlineStr">
        <is>
          <t>CWF 67599</t>
        </is>
      </c>
      <c r="C8" s="56" t="n">
        <v>813.63</v>
      </c>
      <c r="D8" s="64" t="n"/>
      <c r="E8" s="66" t="n"/>
      <c r="F8" s="66" t="inlineStr">
        <is>
          <t>New Horizon Home Decorators</t>
        </is>
      </c>
      <c r="G8" s="66" t="inlineStr">
        <is>
          <t>Leah Alongi PO#30478</t>
        </is>
      </c>
      <c r="H8" s="67" t="inlineStr">
        <is>
          <t>罗马帘 (Roman)</t>
        </is>
      </c>
      <c r="I8" s="67" t="n">
        <v>4</v>
      </c>
      <c r="J8" s="68" t="n">
        <v>821.4</v>
      </c>
      <c r="K8" s="69">
        <f>C8-J8</f>
        <v/>
      </c>
      <c r="L8" s="61" t="inlineStr">
        <is>
          <t>已汇款</t>
        </is>
      </c>
    </row>
    <row r="9" ht="22" customHeight="1">
      <c r="A9" s="54" t="n">
        <v>6</v>
      </c>
      <c r="B9" s="63" t="inlineStr">
        <is>
          <t>CWF67635</t>
        </is>
      </c>
      <c r="C9" s="56" t="n">
        <v>357.6</v>
      </c>
      <c r="D9" s="64" t="inlineStr">
        <is>
          <t>436.8（67635，67648）</t>
        </is>
      </c>
      <c r="E9" s="65" t="n">
        <v>436.8</v>
      </c>
      <c r="F9" s="66" t="inlineStr">
        <is>
          <t>Blinds Plus</t>
        </is>
      </c>
      <c r="G9" s="66" t="inlineStr">
        <is>
          <t>Donna-322(Drapery)</t>
        </is>
      </c>
      <c r="H9" s="67" t="inlineStr">
        <is>
          <t>布艺帘 (Drapery)</t>
        </is>
      </c>
      <c r="I9" s="67" t="n">
        <v>1</v>
      </c>
      <c r="J9" s="68" t="n">
        <v>194.22</v>
      </c>
      <c r="K9" s="70" t="n"/>
      <c r="L9" s="61" t="inlineStr">
        <is>
          <t>已汇款</t>
        </is>
      </c>
    </row>
    <row r="10" ht="22" customHeight="1">
      <c r="A10" s="54" t="n">
        <v>7</v>
      </c>
      <c r="B10" s="63" t="inlineStr">
        <is>
          <t>CWF67635</t>
        </is>
      </c>
      <c r="C10" s="71" t="n"/>
      <c r="D10" s="64" t="n"/>
      <c r="E10" s="66" t="n"/>
      <c r="F10" s="66" t="inlineStr">
        <is>
          <t>Blinds Plus</t>
        </is>
      </c>
      <c r="G10" s="66" t="inlineStr">
        <is>
          <t>Donna-322(Roman)</t>
        </is>
      </c>
      <c r="H10" s="67" t="inlineStr">
        <is>
          <t>罗马帘 (Roman)</t>
        </is>
      </c>
      <c r="I10" s="67" t="n">
        <v>2</v>
      </c>
      <c r="J10" s="68" t="n">
        <v>272</v>
      </c>
      <c r="K10" s="70" t="n"/>
      <c r="L10" s="61" t="inlineStr">
        <is>
          <t>已汇款</t>
        </is>
      </c>
    </row>
    <row r="11" ht="22" customHeight="1">
      <c r="A11" s="54" t="n">
        <v>8</v>
      </c>
      <c r="B11" s="63" t="inlineStr">
        <is>
          <t>CWF 67648</t>
        </is>
      </c>
      <c r="C11" s="56" t="n">
        <v>79.2</v>
      </c>
      <c r="D11" s="64" t="n"/>
      <c r="E11" s="66" t="n"/>
      <c r="F11" s="66" t="inlineStr">
        <is>
          <t>The Shades Experts LLC</t>
        </is>
      </c>
      <c r="G11" s="66" t="inlineStr">
        <is>
          <t>Suzzane</t>
        </is>
      </c>
      <c r="H11" s="67" t="inlineStr">
        <is>
          <t>布艺帘 (Drapery)</t>
        </is>
      </c>
      <c r="I11" s="67" t="n">
        <v>2</v>
      </c>
      <c r="J11" s="68" t="n">
        <v>170.64</v>
      </c>
      <c r="K11" s="69">
        <f>C11-J11</f>
        <v/>
      </c>
      <c r="L11" s="61" t="inlineStr">
        <is>
          <t>已汇款</t>
        </is>
      </c>
    </row>
    <row r="12" ht="22" customHeight="1">
      <c r="A12" s="54" t="n">
        <v>9</v>
      </c>
      <c r="B12" s="63" t="inlineStr">
        <is>
          <t>CWF 67689</t>
        </is>
      </c>
      <c r="C12" s="56" t="n">
        <v>1233.35</v>
      </c>
      <c r="D12" s="64" t="n"/>
      <c r="E12" s="66" t="n"/>
      <c r="F12" s="66" t="inlineStr">
        <is>
          <t>The Shade Factory</t>
        </is>
      </c>
      <c r="G12" s="66" t="inlineStr">
        <is>
          <t>Stephanie Felsher</t>
        </is>
      </c>
      <c r="H12" s="67" t="inlineStr">
        <is>
          <t>罗马帘 (Roman)</t>
        </is>
      </c>
      <c r="I12" s="67" t="n">
        <v>6</v>
      </c>
      <c r="J12" s="68" t="n">
        <v>1149.83</v>
      </c>
      <c r="K12" s="60">
        <f>C12-J12</f>
        <v/>
      </c>
      <c r="L12" s="61" t="inlineStr">
        <is>
          <t>已汇款</t>
        </is>
      </c>
    </row>
    <row r="13" ht="22" customHeight="1">
      <c r="A13" s="54" t="n">
        <v>10</v>
      </c>
      <c r="B13" s="63" t="inlineStr">
        <is>
          <t>CWF67702</t>
        </is>
      </c>
      <c r="C13" s="56" t="n">
        <v>1177.24</v>
      </c>
      <c r="D13" s="64" t="inlineStr">
        <is>
          <t>1286.64（67702，67635）</t>
        </is>
      </c>
      <c r="E13" s="65" t="n">
        <v>1286.64</v>
      </c>
      <c r="F13" s="66" t="inlineStr">
        <is>
          <t>Cornerstone Blinds LLC</t>
        </is>
      </c>
      <c r="G13" s="66" t="inlineStr">
        <is>
          <t>MILES</t>
        </is>
      </c>
      <c r="H13" s="67" t="inlineStr">
        <is>
          <t>罗马帘 (Roman)</t>
        </is>
      </c>
      <c r="I13" s="67" t="n">
        <v>6</v>
      </c>
      <c r="J13" s="68" t="n">
        <v>1118.31</v>
      </c>
      <c r="K13" s="60">
        <f>C13-J13</f>
        <v/>
      </c>
      <c r="L13" s="61" t="inlineStr">
        <is>
          <t>已汇款</t>
        </is>
      </c>
    </row>
    <row r="14" ht="22" customHeight="1">
      <c r="A14" s="54" t="n">
        <v>11</v>
      </c>
      <c r="B14" s="63" t="inlineStr">
        <is>
          <t>CWF 67723</t>
        </is>
      </c>
      <c r="C14" s="56" t="n">
        <v>228</v>
      </c>
      <c r="D14" s="64" t="n"/>
      <c r="E14" s="66" t="n"/>
      <c r="F14" s="66" t="inlineStr">
        <is>
          <t>New Horizon Home Decorators</t>
        </is>
      </c>
      <c r="G14" s="66" t="inlineStr">
        <is>
          <t>Maloney PO#30483</t>
        </is>
      </c>
      <c r="H14" s="67" t="inlineStr">
        <is>
          <t>罗马帘 (Roman)</t>
        </is>
      </c>
      <c r="I14" s="67" t="n">
        <v>1</v>
      </c>
      <c r="J14" s="68" t="n">
        <v>251.21</v>
      </c>
      <c r="K14" s="69">
        <f>C14-J14</f>
        <v/>
      </c>
      <c r="L14" s="61" t="inlineStr">
        <is>
          <t>已汇款</t>
        </is>
      </c>
    </row>
    <row r="15" ht="22" customHeight="1">
      <c r="A15" s="54" t="n">
        <v>12</v>
      </c>
      <c r="B15" s="63" t="inlineStr">
        <is>
          <t>CWF 67789</t>
        </is>
      </c>
      <c r="C15" s="56" t="n">
        <v>588</v>
      </c>
      <c r="D15" s="64" t="inlineStr">
        <is>
          <t>5602.36（67789，67940，67906，67911，67864，67863，67904）</t>
        </is>
      </c>
      <c r="E15" s="65" t="n">
        <v>5602.36</v>
      </c>
      <c r="F15" s="66" t="inlineStr">
        <is>
          <t>South Jersey Blinds and Beyond LLC</t>
        </is>
      </c>
      <c r="G15" s="66" t="inlineStr">
        <is>
          <t>Tripicia</t>
        </is>
      </c>
      <c r="H15" s="67" t="inlineStr">
        <is>
          <t>布艺帘 (Drapery)</t>
        </is>
      </c>
      <c r="I15" s="67" t="n">
        <v>3</v>
      </c>
      <c r="J15" s="68" t="n">
        <v>253.57</v>
      </c>
      <c r="K15" s="60">
        <f>C15-J15</f>
        <v/>
      </c>
      <c r="L15" s="61" t="inlineStr">
        <is>
          <t>已汇款</t>
        </is>
      </c>
    </row>
    <row r="16" ht="22" customHeight="1">
      <c r="A16" s="54" t="n">
        <v>13</v>
      </c>
      <c r="B16" s="63" t="inlineStr">
        <is>
          <t>CWF67838</t>
        </is>
      </c>
      <c r="C16" s="56" t="n">
        <v>1117.54</v>
      </c>
      <c r="D16" s="72" t="n">
        <v>-6.77236783567838e+19</v>
      </c>
      <c r="E16" s="65" t="n">
        <v>3494.55</v>
      </c>
      <c r="F16" s="66" t="inlineStr">
        <is>
          <t>Cornerstone Blinds LLC</t>
        </is>
      </c>
      <c r="G16" s="66" t="inlineStr">
        <is>
          <t>Hood 2</t>
        </is>
      </c>
      <c r="H16" s="67" t="inlineStr">
        <is>
          <t>罗马帘 (Roman)</t>
        </is>
      </c>
      <c r="I16" s="67" t="n">
        <v>4</v>
      </c>
      <c r="J16" s="68" t="n">
        <v>1167.55</v>
      </c>
      <c r="K16" s="69">
        <f>C16-J16</f>
        <v/>
      </c>
      <c r="L16" s="61" t="inlineStr">
        <is>
          <t>已汇款</t>
        </is>
      </c>
    </row>
    <row r="17" ht="22" customHeight="1">
      <c r="A17" s="54" t="n">
        <v>14</v>
      </c>
      <c r="B17" s="63" t="inlineStr">
        <is>
          <t>CWF 67863</t>
        </is>
      </c>
      <c r="C17" s="56" t="n">
        <v>293.07</v>
      </c>
      <c r="D17" s="64" t="n"/>
      <c r="E17" s="66" t="n"/>
      <c r="F17" s="66" t="inlineStr">
        <is>
          <t>New Horizon Home Decorators</t>
        </is>
      </c>
      <c r="G17" s="66" t="inlineStr">
        <is>
          <t>Cecala PO#30498</t>
        </is>
      </c>
      <c r="H17" s="67" t="inlineStr">
        <is>
          <t>罗马帘 (Roman)</t>
        </is>
      </c>
      <c r="I17" s="67" t="n">
        <v>2</v>
      </c>
      <c r="J17" s="68" t="n">
        <v>343.07</v>
      </c>
      <c r="K17" s="69">
        <f>C17-J17</f>
        <v/>
      </c>
      <c r="L17" s="61" t="inlineStr">
        <is>
          <t>已汇款</t>
        </is>
      </c>
    </row>
    <row r="18" ht="22" customHeight="1">
      <c r="A18" s="54" t="n">
        <v>15</v>
      </c>
      <c r="B18" s="63" t="inlineStr">
        <is>
          <t>CWF 67864</t>
        </is>
      </c>
      <c r="C18" s="56" t="n">
        <v>195</v>
      </c>
      <c r="D18" s="64" t="n"/>
      <c r="E18" s="66" t="n"/>
      <c r="F18" s="66" t="inlineStr">
        <is>
          <t>Blinds america</t>
        </is>
      </c>
      <c r="G18" s="66" t="inlineStr">
        <is>
          <t>Elizabeth(Drapery)</t>
        </is>
      </c>
      <c r="H18" s="67" t="inlineStr">
        <is>
          <t>布艺帘 (Drapery)</t>
        </is>
      </c>
      <c r="I18" s="67" t="n">
        <v>1</v>
      </c>
      <c r="J18" s="68" t="n">
        <v>194.22</v>
      </c>
      <c r="K18" s="60">
        <f>C18-J18</f>
        <v/>
      </c>
      <c r="L18" s="61" t="inlineStr">
        <is>
          <t>已汇款</t>
        </is>
      </c>
    </row>
    <row r="19" ht="22" customHeight="1">
      <c r="A19" s="54" t="n">
        <v>16</v>
      </c>
      <c r="B19" s="63" t="inlineStr">
        <is>
          <t>CWF 67876</t>
        </is>
      </c>
      <c r="C19" s="56" t="n">
        <v>320.76</v>
      </c>
      <c r="D19" s="73" t="inlineStr">
        <is>
          <t>525.31（67876，67877）</t>
        </is>
      </c>
      <c r="E19" s="65" t="n">
        <v>525.3099999999999</v>
      </c>
      <c r="F19" s="66" t="inlineStr">
        <is>
          <t>EJ Cielo LLC</t>
        </is>
      </c>
      <c r="G19" s="66" t="inlineStr">
        <is>
          <t>Valencia(Roman)</t>
        </is>
      </c>
      <c r="H19" s="67" t="inlineStr">
        <is>
          <t>罗马帘 (Roman)</t>
        </is>
      </c>
      <c r="I19" s="67" t="n">
        <v>1</v>
      </c>
      <c r="J19" s="68" t="n">
        <v>135</v>
      </c>
      <c r="K19" s="60">
        <f>C19-J19-J2</f>
        <v/>
      </c>
      <c r="L19" s="61" t="inlineStr">
        <is>
          <t>已汇款</t>
        </is>
      </c>
    </row>
    <row r="20" ht="22" customHeight="1">
      <c r="A20" s="54" t="n">
        <v>17</v>
      </c>
      <c r="B20" s="63" t="inlineStr">
        <is>
          <t>CWF 67876</t>
        </is>
      </c>
      <c r="C20" s="71" t="n"/>
      <c r="D20" s="74" t="n"/>
      <c r="E20" s="66" t="n"/>
      <c r="F20" s="66" t="inlineStr">
        <is>
          <t>EJ Cielo LLC</t>
        </is>
      </c>
      <c r="G20" s="66" t="inlineStr">
        <is>
          <t>Valencia(Drapery)</t>
        </is>
      </c>
      <c r="H20" s="67" t="inlineStr">
        <is>
          <t>布艺帘 (Drapery)</t>
        </is>
      </c>
      <c r="I20" s="67" t="n">
        <v>1</v>
      </c>
      <c r="J20" s="68" t="n">
        <v>149.76</v>
      </c>
      <c r="K20" s="70" t="n"/>
      <c r="L20" s="61" t="inlineStr">
        <is>
          <t>已汇款</t>
        </is>
      </c>
    </row>
    <row r="21" ht="22" customHeight="1">
      <c r="A21" s="54" t="n">
        <v>18</v>
      </c>
      <c r="B21" s="63" t="inlineStr">
        <is>
          <t>CWF67877</t>
        </is>
      </c>
      <c r="C21" s="56" t="n">
        <v>204.55</v>
      </c>
      <c r="D21" s="64" t="n"/>
      <c r="E21" s="66" t="n"/>
      <c r="F21" s="66" t="inlineStr">
        <is>
          <t>Blinds Plus 2</t>
        </is>
      </c>
      <c r="G21" s="66" t="inlineStr">
        <is>
          <t>McCabe-LP</t>
        </is>
      </c>
      <c r="H21" s="67" t="inlineStr">
        <is>
          <t>罗马帘 (Roman)</t>
        </is>
      </c>
      <c r="I21" s="67" t="n">
        <v>1</v>
      </c>
      <c r="J21" s="68" t="n">
        <v>204.55</v>
      </c>
      <c r="K21" s="60" t="n"/>
      <c r="L21" s="61" t="inlineStr">
        <is>
          <t>已汇款</t>
        </is>
      </c>
    </row>
    <row r="22" ht="22" customHeight="1">
      <c r="A22" s="54" t="n">
        <v>19</v>
      </c>
      <c r="B22" s="63" t="inlineStr">
        <is>
          <t>CWF 67904</t>
        </is>
      </c>
      <c r="C22" s="56" t="n">
        <v>211.47</v>
      </c>
      <c r="D22" s="64" t="n"/>
      <c r="E22" s="66" t="n"/>
      <c r="F22" s="66" t="inlineStr">
        <is>
          <t>House of Color</t>
        </is>
      </c>
      <c r="G22" s="66" t="inlineStr">
        <is>
          <t>Ryo Eguchi(Roman)</t>
        </is>
      </c>
      <c r="H22" s="67" t="inlineStr">
        <is>
          <t>罗马帘 (Roman)</t>
        </is>
      </c>
      <c r="I22" s="67" t="n">
        <v>2</v>
      </c>
      <c r="J22" s="68" t="n">
        <v>211.46</v>
      </c>
      <c r="K22" s="60">
        <f>C22-J22</f>
        <v/>
      </c>
      <c r="L22" s="61" t="inlineStr">
        <is>
          <t>已汇款</t>
        </is>
      </c>
    </row>
    <row r="23" ht="22" customHeight="1">
      <c r="A23" s="54" t="n">
        <v>20</v>
      </c>
      <c r="B23" s="63" t="inlineStr">
        <is>
          <t>CWF 67906</t>
        </is>
      </c>
      <c r="C23" s="56" t="n">
        <v>1659.18</v>
      </c>
      <c r="D23" s="64" t="n"/>
      <c r="E23" s="66" t="n"/>
      <c r="F23" s="66" t="inlineStr">
        <is>
          <t>The Shades Experts LLC</t>
        </is>
      </c>
      <c r="G23" s="66" t="inlineStr">
        <is>
          <t>Andre</t>
        </is>
      </c>
      <c r="H23" s="67" t="inlineStr">
        <is>
          <t>布艺帘 (Drapery)</t>
        </is>
      </c>
      <c r="I23" s="67" t="n">
        <v>4</v>
      </c>
      <c r="J23" s="68" t="n">
        <v>1163.46</v>
      </c>
      <c r="K23" s="60">
        <f>C23-J23</f>
        <v/>
      </c>
      <c r="L23" s="61" t="inlineStr">
        <is>
          <t>已汇款</t>
        </is>
      </c>
    </row>
    <row r="24" ht="22" customHeight="1">
      <c r="A24" s="54" t="n">
        <v>21</v>
      </c>
      <c r="B24" s="63" t="inlineStr">
        <is>
          <t>CWF 67911</t>
        </is>
      </c>
      <c r="C24" s="56" t="n">
        <v>2799.62</v>
      </c>
      <c r="D24" s="64" t="n"/>
      <c r="E24" s="66" t="n"/>
      <c r="F24" s="66" t="inlineStr">
        <is>
          <t>Brooklyn Shades</t>
        </is>
      </c>
      <c r="G24" s="66" t="inlineStr">
        <is>
          <t>192 Gardner</t>
        </is>
      </c>
      <c r="H24" s="67" t="inlineStr">
        <is>
          <t>罗马帘 (Roman)</t>
        </is>
      </c>
      <c r="I24" s="67" t="n">
        <v>28</v>
      </c>
      <c r="J24" s="68" t="n">
        <v>2966.4</v>
      </c>
      <c r="K24" s="69">
        <f>C24-J24</f>
        <v/>
      </c>
      <c r="L24" s="61" t="inlineStr">
        <is>
          <t>已汇款</t>
        </is>
      </c>
    </row>
    <row r="25" ht="22" customHeight="1">
      <c r="A25" s="49" t="n">
        <v>22</v>
      </c>
      <c r="B25" s="63" t="inlineStr">
        <is>
          <t>CWF 67913</t>
        </is>
      </c>
      <c r="C25" s="75" t="n">
        <v>187.2</v>
      </c>
      <c r="D25" s="64" t="n"/>
      <c r="E25" s="66" t="n"/>
      <c r="F25" s="66" t="inlineStr">
        <is>
          <t>Bayside Shades</t>
        </is>
      </c>
      <c r="G25" s="66" t="inlineStr">
        <is>
          <t>Anita Phase 2(Drapery)</t>
        </is>
      </c>
      <c r="H25" s="67" t="inlineStr">
        <is>
          <t>布艺帘 (Drapery)</t>
        </is>
      </c>
      <c r="I25" s="67" t="n">
        <v>1</v>
      </c>
      <c r="J25" s="68" t="n">
        <v>234.4</v>
      </c>
      <c r="K25" s="60" t="n"/>
      <c r="L25" s="61" t="n"/>
    </row>
    <row r="26" ht="22" customHeight="1">
      <c r="A26" s="54" t="n">
        <v>23</v>
      </c>
      <c r="B26" s="63" t="inlineStr">
        <is>
          <t>CWF67940</t>
        </is>
      </c>
      <c r="C26" s="56" t="n">
        <v>186.77</v>
      </c>
      <c r="D26" s="64" t="n"/>
      <c r="E26" s="66" t="n"/>
      <c r="F26" s="66" t="inlineStr">
        <is>
          <t>Blinds Plus 2</t>
        </is>
      </c>
      <c r="G26" s="66" t="inlineStr">
        <is>
          <t>Fullmer-LP(Roman)</t>
        </is>
      </c>
      <c r="H26" s="67" t="inlineStr">
        <is>
          <t>罗马帘 (Roman)</t>
        </is>
      </c>
      <c r="I26" s="67" t="n">
        <v>1</v>
      </c>
      <c r="J26" s="68" t="n">
        <v>186.77</v>
      </c>
      <c r="K26" s="60">
        <f>C26-J26</f>
        <v/>
      </c>
      <c r="L26" s="61" t="inlineStr">
        <is>
          <t>已汇款</t>
        </is>
      </c>
    </row>
    <row r="27" ht="22" customHeight="1">
      <c r="A27" s="54" t="n">
        <v>24</v>
      </c>
      <c r="B27" s="63" t="inlineStr">
        <is>
          <t>CWF 67989</t>
        </is>
      </c>
      <c r="C27" s="75" t="n">
        <v>1379.92</v>
      </c>
      <c r="D27" s="64" t="n"/>
      <c r="E27" s="65" t="n">
        <v>1335.17</v>
      </c>
      <c r="F27" s="66" t="inlineStr">
        <is>
          <t>Blinds america</t>
        </is>
      </c>
      <c r="G27" s="66" t="inlineStr">
        <is>
          <t>Runyan</t>
        </is>
      </c>
      <c r="H27" s="67" t="inlineStr">
        <is>
          <t>罗马帘 (Roman)</t>
        </is>
      </c>
      <c r="I27" s="67" t="n">
        <v>6</v>
      </c>
      <c r="J27" s="68" t="n">
        <v>1335.17</v>
      </c>
      <c r="K27" s="60" t="n"/>
      <c r="L27" s="61" t="inlineStr">
        <is>
          <t>已汇款</t>
        </is>
      </c>
    </row>
    <row r="28" ht="22" customFormat="1" customHeight="1" s="1">
      <c r="A28" s="54" t="n">
        <v>25</v>
      </c>
      <c r="B28" s="76" t="inlineStr">
        <is>
          <t>CWF68000</t>
        </is>
      </c>
      <c r="C28" s="77" t="n">
        <v>768.29</v>
      </c>
      <c r="D28" s="78" t="n"/>
      <c r="E28" s="79" t="n">
        <v>788.29</v>
      </c>
      <c r="F28" s="80" t="inlineStr">
        <is>
          <t>Verticals Plus</t>
        </is>
      </c>
      <c r="G28" s="80" t="inlineStr">
        <is>
          <t>Grilli(Roman)</t>
        </is>
      </c>
      <c r="H28" s="81" t="inlineStr">
        <is>
          <t>罗马帘 (Roman)</t>
        </is>
      </c>
      <c r="I28" s="81" t="n">
        <v>5</v>
      </c>
      <c r="J28" s="70" t="n">
        <v>788.3</v>
      </c>
      <c r="K28" s="70" t="n"/>
      <c r="L28" s="61" t="inlineStr">
        <is>
          <t>已汇款</t>
        </is>
      </c>
    </row>
    <row r="29" ht="22" customHeight="1">
      <c r="A29" s="49" t="n">
        <v>26</v>
      </c>
      <c r="B29" s="82" t="inlineStr">
        <is>
          <t>CWF 68007</t>
        </is>
      </c>
      <c r="C29" s="62" t="n"/>
      <c r="D29" s="64" t="n"/>
      <c r="E29" s="66" t="n"/>
      <c r="F29" s="66" t="inlineStr">
        <is>
          <t>Maza Décor LLC</t>
        </is>
      </c>
      <c r="G29" s="66" t="inlineStr">
        <is>
          <t>#3060(Drapery)</t>
        </is>
      </c>
      <c r="H29" s="67" t="inlineStr">
        <is>
          <t>布艺帘 (Drapery)</t>
        </is>
      </c>
      <c r="I29" s="67" t="n">
        <v>7</v>
      </c>
      <c r="J29" s="68" t="n">
        <v>747.46</v>
      </c>
      <c r="K29" s="60" t="n"/>
      <c r="L29" s="61" t="n"/>
    </row>
    <row r="30" ht="22" customHeight="1">
      <c r="A30" s="49" t="n">
        <v>27</v>
      </c>
      <c r="B30" s="82" t="inlineStr">
        <is>
          <t>CWF 68007</t>
        </is>
      </c>
      <c r="C30" s="62" t="n"/>
      <c r="D30" s="64" t="n"/>
      <c r="E30" s="66" t="n"/>
      <c r="F30" s="66" t="inlineStr">
        <is>
          <t>Maza Décor LLC</t>
        </is>
      </c>
      <c r="G30" s="66" t="inlineStr">
        <is>
          <t>#3066(Roman)</t>
        </is>
      </c>
      <c r="H30" s="67" t="inlineStr">
        <is>
          <t>罗马帘 (Roman)</t>
        </is>
      </c>
      <c r="I30" s="67" t="n">
        <v>2</v>
      </c>
      <c r="J30" s="68" t="n">
        <v>313.88</v>
      </c>
      <c r="K30" s="60" t="n"/>
      <c r="L30" s="61" t="n"/>
    </row>
    <row r="31" ht="22" customHeight="1">
      <c r="A31" s="54" t="n">
        <v>28</v>
      </c>
      <c r="B31" s="63" t="inlineStr">
        <is>
          <t>CWF 68073</t>
        </is>
      </c>
      <c r="C31" s="56" t="n">
        <v>729.96</v>
      </c>
      <c r="D31" s="64" t="n"/>
      <c r="E31" s="66" t="n"/>
      <c r="F31" s="66" t="inlineStr">
        <is>
          <t>Shade IQ</t>
        </is>
      </c>
      <c r="G31" s="66" t="inlineStr">
        <is>
          <t>Munoz</t>
        </is>
      </c>
      <c r="H31" s="67" t="inlineStr">
        <is>
          <t>布艺帘 (Drapery)</t>
        </is>
      </c>
      <c r="I31" s="67" t="n">
        <v>4</v>
      </c>
      <c r="J31" s="68" t="n">
        <v>505.12</v>
      </c>
      <c r="K31" s="60">
        <f>C31-J31</f>
        <v/>
      </c>
      <c r="L31" s="61" t="inlineStr">
        <is>
          <t>已汇款</t>
        </is>
      </c>
    </row>
    <row r="32" ht="22" customHeight="1">
      <c r="A32" s="54" t="n">
        <v>29</v>
      </c>
      <c r="B32" s="63" t="inlineStr">
        <is>
          <t>CWF 68086</t>
        </is>
      </c>
      <c r="C32" s="56" t="n">
        <v>1337.25</v>
      </c>
      <c r="D32" s="64" t="inlineStr">
        <is>
          <t>68086.68073.67599补</t>
        </is>
      </c>
      <c r="E32" s="65" t="n">
        <v>2429.03</v>
      </c>
      <c r="F32" s="66" t="inlineStr">
        <is>
          <t>Advanced Window Treatments</t>
        </is>
      </c>
      <c r="G32" s="66" t="inlineStr">
        <is>
          <t>Aplan</t>
        </is>
      </c>
      <c r="H32" s="67" t="inlineStr">
        <is>
          <t>罗马帘 (Roman)</t>
        </is>
      </c>
      <c r="I32" s="67" t="n">
        <v>5</v>
      </c>
      <c r="J32" s="68" t="n">
        <v>1412.25</v>
      </c>
      <c r="K32" s="69">
        <f>C32-J32</f>
        <v/>
      </c>
      <c r="L32" s="61" t="inlineStr">
        <is>
          <t>已汇款</t>
        </is>
      </c>
    </row>
    <row r="33" ht="22" customHeight="1">
      <c r="A33" s="83" t="n">
        <v>30</v>
      </c>
      <c r="B33" s="82" t="inlineStr">
        <is>
          <t>CWF 68122</t>
        </is>
      </c>
      <c r="C33" s="62" t="n"/>
      <c r="D33" s="64" t="n"/>
      <c r="E33" s="66" t="n"/>
      <c r="F33" s="66" t="inlineStr">
        <is>
          <t>Superior Blinds and More</t>
        </is>
      </c>
      <c r="G33" s="66" t="inlineStr">
        <is>
          <t>Steve(Roman)</t>
        </is>
      </c>
      <c r="H33" s="67" t="inlineStr">
        <is>
          <t>罗马帘 (Roman)</t>
        </is>
      </c>
      <c r="I33" s="67" t="n">
        <v>2</v>
      </c>
      <c r="J33" s="68" t="n">
        <v>248.83</v>
      </c>
      <c r="K33" s="60" t="n"/>
      <c r="L33" s="61" t="inlineStr">
        <is>
          <t>已汇款</t>
        </is>
      </c>
    </row>
    <row r="34" ht="22" customHeight="1">
      <c r="A34" s="83" t="n">
        <v>31</v>
      </c>
      <c r="B34" s="82" t="inlineStr">
        <is>
          <t>CWF 68122</t>
        </is>
      </c>
      <c r="C34" s="62" t="n"/>
      <c r="D34" s="64" t="n"/>
      <c r="E34" s="66" t="n"/>
      <c r="F34" s="66" t="inlineStr">
        <is>
          <t>Superior Blinds and More</t>
        </is>
      </c>
      <c r="G34" s="66" t="inlineStr">
        <is>
          <t>Steve(Drapery)</t>
        </is>
      </c>
      <c r="H34" s="67" t="inlineStr">
        <is>
          <t>布艺帘 (Drapery)</t>
        </is>
      </c>
      <c r="I34" s="67" t="n">
        <v>2</v>
      </c>
      <c r="J34" s="68" t="n">
        <v>665.28</v>
      </c>
      <c r="K34" s="60" t="n"/>
      <c r="L34" s="61" t="inlineStr">
        <is>
          <t>已汇款</t>
        </is>
      </c>
    </row>
    <row r="35" ht="22" customHeight="1">
      <c r="A35" s="49" t="n">
        <v>32</v>
      </c>
      <c r="B35" s="63" t="inlineStr">
        <is>
          <t>CWF 68123</t>
        </is>
      </c>
      <c r="C35" s="62" t="n"/>
      <c r="D35" s="64" t="n"/>
      <c r="E35" s="66" t="n"/>
      <c r="F35" s="66" t="inlineStr">
        <is>
          <t>Brooklyn Shades</t>
        </is>
      </c>
      <c r="G35" s="66" t="inlineStr">
        <is>
          <t>Emily 0553</t>
        </is>
      </c>
      <c r="H35" s="67" t="inlineStr">
        <is>
          <t>罗马帘 (Roman)</t>
        </is>
      </c>
      <c r="I35" s="67" t="n">
        <v>4</v>
      </c>
      <c r="J35" s="68" t="n">
        <v>964.1799999999999</v>
      </c>
      <c r="K35" s="60" t="n"/>
      <c r="L35" s="61" t="n"/>
    </row>
    <row r="36" ht="22" customHeight="1">
      <c r="A36" s="54" t="n">
        <v>33</v>
      </c>
      <c r="B36" s="63" t="inlineStr">
        <is>
          <t>CWF 68128</t>
        </is>
      </c>
      <c r="C36" s="56" t="n">
        <v>645.2</v>
      </c>
      <c r="D36" s="64" t="n"/>
      <c r="E36" s="66" t="n"/>
      <c r="F36" s="66" t="inlineStr">
        <is>
          <t>Rodeo Blinds</t>
        </is>
      </c>
      <c r="G36" s="66" t="inlineStr">
        <is>
          <t>Beth</t>
        </is>
      </c>
      <c r="H36" s="67" t="inlineStr">
        <is>
          <t>布艺帘 (Drapery)</t>
        </is>
      </c>
      <c r="I36" s="67" t="n">
        <v>5</v>
      </c>
      <c r="J36" s="68" t="n">
        <v>690.6900000000001</v>
      </c>
      <c r="K36" s="69">
        <f>C36-J36</f>
        <v/>
      </c>
      <c r="L36" s="61" t="inlineStr">
        <is>
          <t>已汇款</t>
        </is>
      </c>
    </row>
    <row r="37" ht="22" customHeight="1">
      <c r="A37" s="54" t="n">
        <v>34</v>
      </c>
      <c r="B37" s="82" t="inlineStr">
        <is>
          <t>CWF 68129</t>
        </is>
      </c>
      <c r="C37" s="75" t="n">
        <v>1348.7</v>
      </c>
      <c r="D37" s="64" t="n"/>
      <c r="E37" s="65" t="n">
        <v>1342.71</v>
      </c>
      <c r="F37" s="66" t="inlineStr">
        <is>
          <t>Rodeo Blinds</t>
        </is>
      </c>
      <c r="G37" s="66" t="inlineStr">
        <is>
          <t>Jamie(Drapery)</t>
        </is>
      </c>
      <c r="H37" s="67" t="inlineStr">
        <is>
          <t>布艺帘 (Drapery)</t>
        </is>
      </c>
      <c r="I37" s="67" t="n">
        <v>3</v>
      </c>
      <c r="J37" s="68" t="n">
        <v>1342.71</v>
      </c>
      <c r="K37" s="60" t="n"/>
      <c r="L37" s="61" t="inlineStr">
        <is>
          <t>已汇款</t>
        </is>
      </c>
    </row>
    <row r="38" ht="22" customHeight="1">
      <c r="A38" s="83" t="n">
        <v>36</v>
      </c>
      <c r="B38" s="63" t="inlineStr">
        <is>
          <t>CWF 68135</t>
        </is>
      </c>
      <c r="C38" s="84" t="n">
        <v>219.88</v>
      </c>
      <c r="D38" s="64" t="inlineStr">
        <is>
          <t>68135.68231.68122.68281.68283.68255</t>
        </is>
      </c>
      <c r="E38" s="65" t="n">
        <v>6365.34</v>
      </c>
      <c r="F38" s="66" t="inlineStr">
        <is>
          <t>Maza Décor LLC</t>
        </is>
      </c>
      <c r="G38" s="66" t="inlineStr">
        <is>
          <t>#3106(Roman)</t>
        </is>
      </c>
      <c r="H38" s="67" t="inlineStr">
        <is>
          <t>罗马帘 (Roman)</t>
        </is>
      </c>
      <c r="I38" s="67" t="n">
        <v>2</v>
      </c>
      <c r="J38" s="68" t="n">
        <v>219.86</v>
      </c>
      <c r="K38" s="60" t="n"/>
      <c r="L38" s="61" t="inlineStr">
        <is>
          <t>已汇款</t>
        </is>
      </c>
    </row>
    <row r="39" ht="22" customHeight="1">
      <c r="A39" s="54" t="n">
        <v>37</v>
      </c>
      <c r="B39" s="63" t="inlineStr">
        <is>
          <t>CWF 68177</t>
        </is>
      </c>
      <c r="C39" s="56" t="n">
        <v>311.42</v>
      </c>
      <c r="D39" s="64" t="n"/>
      <c r="E39" s="66" t="n"/>
      <c r="F39" s="66" t="inlineStr">
        <is>
          <t>Rodeo Blinds</t>
        </is>
      </c>
      <c r="G39" s="66" t="inlineStr">
        <is>
          <t>Dana(Roman)</t>
        </is>
      </c>
      <c r="H39" s="67" t="inlineStr">
        <is>
          <t>罗马帘 (Roman)</t>
        </is>
      </c>
      <c r="I39" s="67" t="n">
        <v>2</v>
      </c>
      <c r="J39" s="68" t="n">
        <v>291.28</v>
      </c>
      <c r="K39" s="60">
        <f>C39-J39</f>
        <v/>
      </c>
      <c r="L39" s="61" t="inlineStr">
        <is>
          <t>已汇款</t>
        </is>
      </c>
    </row>
    <row r="40" ht="22" customHeight="1">
      <c r="A40" s="54" t="n">
        <v>38</v>
      </c>
      <c r="B40" s="63" t="inlineStr">
        <is>
          <t>CWF 68181</t>
        </is>
      </c>
      <c r="C40" s="56" t="n">
        <v>262.8</v>
      </c>
      <c r="D40" s="64" t="n"/>
      <c r="E40" s="66" t="n"/>
      <c r="F40" s="66" t="inlineStr">
        <is>
          <t>Shade IQ</t>
        </is>
      </c>
      <c r="G40" s="66" t="inlineStr">
        <is>
          <t>Marsch</t>
        </is>
      </c>
      <c r="H40" s="67" t="inlineStr">
        <is>
          <t>布艺帘 (Drapery)</t>
        </is>
      </c>
      <c r="I40" s="67" t="n">
        <v>11</v>
      </c>
      <c r="J40" s="68" t="n">
        <v>360.36</v>
      </c>
      <c r="K40" s="69">
        <f>C40-J40</f>
        <v/>
      </c>
      <c r="L40" s="61" t="inlineStr">
        <is>
          <t>已汇款</t>
        </is>
      </c>
    </row>
    <row r="41" ht="22" customHeight="1">
      <c r="A41" s="54" t="n">
        <v>39</v>
      </c>
      <c r="B41" s="63" t="inlineStr">
        <is>
          <t>CWF 68182</t>
        </is>
      </c>
      <c r="C41" s="56" t="n">
        <v>70.98999999999999</v>
      </c>
      <c r="D41" s="64" t="inlineStr">
        <is>
          <t>68182.68128.68186.68181.68190.68177</t>
        </is>
      </c>
      <c r="E41" s="65" t="n">
        <v>1823.41</v>
      </c>
      <c r="F41" s="66" t="inlineStr">
        <is>
          <t>Shade IQ</t>
        </is>
      </c>
      <c r="G41" s="66" t="inlineStr">
        <is>
          <t>Robertson</t>
        </is>
      </c>
      <c r="H41" s="67" t="inlineStr">
        <is>
          <t>布艺帘 (Drapery)</t>
        </is>
      </c>
      <c r="I41" s="67" t="n">
        <v>1</v>
      </c>
      <c r="J41" s="68" t="n">
        <v>71.40000000000001</v>
      </c>
      <c r="K41" s="69">
        <f>C41-J41</f>
        <v/>
      </c>
      <c r="L41" s="61" t="inlineStr">
        <is>
          <t>已汇款</t>
        </is>
      </c>
    </row>
    <row r="42" ht="22" customHeight="1">
      <c r="A42" s="54" t="n">
        <v>40</v>
      </c>
      <c r="B42" s="63" t="inlineStr">
        <is>
          <t>CWF68186</t>
        </is>
      </c>
      <c r="C42" s="56" t="n">
        <v>83</v>
      </c>
      <c r="D42" s="64" t="n"/>
      <c r="E42" s="66" t="n"/>
      <c r="F42" s="66" t="inlineStr">
        <is>
          <t>Cornerstone Blinds LLC</t>
        </is>
      </c>
      <c r="G42" s="66" t="inlineStr">
        <is>
          <t>MILES 2</t>
        </is>
      </c>
      <c r="H42" s="67" t="inlineStr">
        <is>
          <t>罗马帘 (Roman)</t>
        </is>
      </c>
      <c r="I42" s="67" t="n">
        <v>1</v>
      </c>
      <c r="J42" s="68" t="n">
        <v>75</v>
      </c>
      <c r="K42" s="60">
        <f>C42-J42</f>
        <v/>
      </c>
      <c r="L42" s="61" t="inlineStr">
        <is>
          <t>已汇款</t>
        </is>
      </c>
    </row>
    <row r="43" ht="22" customHeight="1">
      <c r="A43" s="54" t="n">
        <v>41</v>
      </c>
      <c r="B43" s="63" t="inlineStr">
        <is>
          <t>CWF 68190</t>
        </is>
      </c>
      <c r="C43" s="56" t="n">
        <v>450</v>
      </c>
      <c r="D43" s="64" t="n"/>
      <c r="E43" s="66" t="n"/>
      <c r="F43" s="66" t="inlineStr">
        <is>
          <t>New Horizon Home Decorators</t>
        </is>
      </c>
      <c r="G43" s="66" t="inlineStr">
        <is>
          <t>O'Connor PO#30535</t>
        </is>
      </c>
      <c r="H43" s="67" t="inlineStr">
        <is>
          <t>罗马帘 (Roman)</t>
        </is>
      </c>
      <c r="I43" s="67" t="n">
        <v>2</v>
      </c>
      <c r="J43" s="68" t="n">
        <v>480</v>
      </c>
      <c r="K43" s="69">
        <f>C43-J43</f>
        <v/>
      </c>
      <c r="L43" s="61" t="inlineStr">
        <is>
          <t>已汇款</t>
        </is>
      </c>
    </row>
    <row r="44" ht="22" customHeight="1">
      <c r="A44" s="54" t="n">
        <v>42</v>
      </c>
      <c r="B44" s="63" t="inlineStr">
        <is>
          <t>CWF 68192</t>
        </is>
      </c>
      <c r="C44" s="62" t="n"/>
      <c r="D44" s="64" t="n">
        <v>68192.68286</v>
      </c>
      <c r="E44" s="65" t="n">
        <v>995.9</v>
      </c>
      <c r="F44" s="66" t="inlineStr">
        <is>
          <t>Maza Décor LLC</t>
        </is>
      </c>
      <c r="G44" s="66" t="inlineStr">
        <is>
          <t>#3120(Roman)</t>
        </is>
      </c>
      <c r="H44" s="67" t="inlineStr">
        <is>
          <t>罗马帘 (Roman)</t>
        </is>
      </c>
      <c r="I44" s="67" t="n">
        <v>3</v>
      </c>
      <c r="J44" s="68" t="n">
        <v>856.12</v>
      </c>
      <c r="K44" s="68" t="n"/>
      <c r="L44" s="61" t="inlineStr">
        <is>
          <t>已汇款</t>
        </is>
      </c>
    </row>
    <row r="45" ht="22" customHeight="1">
      <c r="A45" s="85" t="n">
        <v>43</v>
      </c>
      <c r="B45" s="63" t="inlineStr">
        <is>
          <t>CWF 68193</t>
        </is>
      </c>
      <c r="C45" s="62" t="n"/>
      <c r="D45" s="64" t="n"/>
      <c r="E45" s="66" t="n"/>
      <c r="F45" s="66" t="n"/>
      <c r="G45" s="66" t="n"/>
      <c r="H45" s="67" t="n"/>
      <c r="I45" s="67" t="n"/>
      <c r="J45" s="68" t="n">
        <v>93.48999999999999</v>
      </c>
      <c r="K45" s="68" t="n"/>
      <c r="L45" s="61" t="inlineStr">
        <is>
          <t>已汇款</t>
        </is>
      </c>
    </row>
    <row r="46" ht="22" customHeight="1">
      <c r="A46" s="83" t="n">
        <v>44</v>
      </c>
      <c r="B46" s="63" t="inlineStr">
        <is>
          <t>CWF 68231</t>
        </is>
      </c>
      <c r="C46" s="62" t="n"/>
      <c r="D46" s="64" t="n"/>
      <c r="E46" s="66" t="n"/>
      <c r="F46" s="66" t="inlineStr">
        <is>
          <t>The Blind Spot Inc.</t>
        </is>
      </c>
      <c r="G46" s="66" t="inlineStr">
        <is>
          <t>McDermott</t>
        </is>
      </c>
      <c r="H46" s="67" t="inlineStr">
        <is>
          <t>罗马帘 (Roman)</t>
        </is>
      </c>
      <c r="I46" s="67" t="n">
        <v>1</v>
      </c>
      <c r="J46" s="68" t="n">
        <v>274.14</v>
      </c>
      <c r="K46" s="68" t="n"/>
      <c r="L46" s="61" t="inlineStr">
        <is>
          <t>已汇款</t>
        </is>
      </c>
    </row>
    <row r="47" ht="22" customHeight="1">
      <c r="A47" s="85" t="n">
        <v>45</v>
      </c>
      <c r="B47" s="82" t="inlineStr">
        <is>
          <t>CWF 68232</t>
        </is>
      </c>
      <c r="C47" s="62" t="n"/>
      <c r="D47" s="64" t="n"/>
      <c r="E47" s="66" t="n"/>
      <c r="F47" s="66" t="inlineStr">
        <is>
          <t>Kara Window Coverings Inc.</t>
        </is>
      </c>
      <c r="G47" s="66" t="inlineStr">
        <is>
          <t>Alma(Roman) PO#17245</t>
        </is>
      </c>
      <c r="H47" s="67" t="inlineStr">
        <is>
          <t>罗马帘 (Roman)</t>
        </is>
      </c>
      <c r="I47" s="67" t="n">
        <v>13</v>
      </c>
      <c r="J47" s="68" t="n">
        <v>2310.05</v>
      </c>
      <c r="K47" s="68" t="n"/>
      <c r="L47" s="61" t="inlineStr">
        <is>
          <t>已汇款</t>
        </is>
      </c>
    </row>
    <row r="48" ht="22" customHeight="1">
      <c r="A48" s="85" t="n">
        <v>46</v>
      </c>
      <c r="B48" s="86" t="inlineStr">
        <is>
          <t>CWF 68232</t>
        </is>
      </c>
      <c r="C48" s="86" t="n"/>
      <c r="D48" s="87" t="n"/>
      <c r="E48" s="88" t="n"/>
      <c r="F48" s="88" t="inlineStr">
        <is>
          <t>Kara Window Coverings Inc.</t>
        </is>
      </c>
      <c r="G48" s="88" t="inlineStr">
        <is>
          <t>Alma(Drapery) PO#17245</t>
        </is>
      </c>
      <c r="H48" s="89" t="inlineStr">
        <is>
          <t>布艺帘 (Drapery)</t>
        </is>
      </c>
      <c r="I48" s="89" t="n">
        <v>1</v>
      </c>
      <c r="J48" s="90" t="n">
        <v>420</v>
      </c>
      <c r="K48" s="91" t="inlineStr">
        <is>
          <t>需要杆100顶装</t>
        </is>
      </c>
      <c r="L48" s="61" t="inlineStr">
        <is>
          <t>已汇款</t>
        </is>
      </c>
    </row>
    <row r="49" ht="22" customHeight="1">
      <c r="A49" s="83" t="n">
        <v>47</v>
      </c>
      <c r="B49" s="63" t="inlineStr">
        <is>
          <t>CWF68255</t>
        </is>
      </c>
      <c r="C49" s="62" t="n"/>
      <c r="D49" s="64" t="n"/>
      <c r="E49" s="66" t="n"/>
      <c r="F49" s="66" t="inlineStr">
        <is>
          <t>Shade IQ</t>
        </is>
      </c>
      <c r="G49" s="66" t="inlineStr">
        <is>
          <t>Griffith(Roman)</t>
        </is>
      </c>
      <c r="H49" s="67" t="inlineStr">
        <is>
          <t>罗马帘 (Roman)</t>
        </is>
      </c>
      <c r="I49" s="67" t="n">
        <v>27</v>
      </c>
      <c r="J49" s="68" t="n">
        <v>2906.21</v>
      </c>
      <c r="K49" s="68" t="n"/>
      <c r="L49" s="61" t="inlineStr">
        <is>
          <t>已汇款</t>
        </is>
      </c>
    </row>
    <row r="50" ht="22" customHeight="1">
      <c r="A50" s="85" t="n">
        <v>48</v>
      </c>
      <c r="B50" s="63" t="inlineStr">
        <is>
          <t>CWF 68256</t>
        </is>
      </c>
      <c r="C50" s="62" t="n"/>
      <c r="D50" s="64" t="inlineStr">
        <is>
          <t>68256.68370.68311</t>
        </is>
      </c>
      <c r="E50" s="66" t="n"/>
      <c r="F50" s="66" t="inlineStr">
        <is>
          <t>Shade IQ</t>
        </is>
      </c>
      <c r="G50" s="66" t="inlineStr">
        <is>
          <t>Griffith-Casa(Drapery)</t>
        </is>
      </c>
      <c r="H50" s="67" t="inlineStr">
        <is>
          <t>布艺帘 (Drapery)</t>
        </is>
      </c>
      <c r="I50" s="67" t="n">
        <v>9</v>
      </c>
      <c r="J50" s="68" t="n">
        <v>1135.3</v>
      </c>
      <c r="K50" s="68" t="n"/>
      <c r="L50" s="61" t="inlineStr">
        <is>
          <t>已汇款</t>
        </is>
      </c>
    </row>
    <row r="51" ht="22" customHeight="1">
      <c r="A51" s="54" t="n">
        <v>49</v>
      </c>
      <c r="B51" s="63" t="inlineStr">
        <is>
          <t>CWF 68267</t>
        </is>
      </c>
      <c r="C51" s="62" t="n"/>
      <c r="D51" s="64" t="n"/>
      <c r="E51" s="66" t="n"/>
      <c r="F51" s="66" t="inlineStr">
        <is>
          <t>Blinds america</t>
        </is>
      </c>
      <c r="G51" s="66" t="inlineStr">
        <is>
          <t>Lockwood</t>
        </is>
      </c>
      <c r="H51" s="67" t="inlineStr">
        <is>
          <t>布艺帘 (Drapery)</t>
        </is>
      </c>
      <c r="I51" s="67" t="n">
        <v>2</v>
      </c>
      <c r="J51" s="68" t="n">
        <v>1034.28</v>
      </c>
      <c r="K51" s="68" t="n"/>
      <c r="L51" s="61" t="inlineStr">
        <is>
          <t>已汇款</t>
        </is>
      </c>
    </row>
    <row r="52" ht="22" customHeight="1">
      <c r="A52" s="85" t="n">
        <v>50</v>
      </c>
      <c r="B52" s="63" t="inlineStr">
        <is>
          <t>CWF 68272</t>
        </is>
      </c>
      <c r="C52" s="62" t="n"/>
      <c r="D52" s="64" t="inlineStr">
        <is>
          <t>68193.68272.68232.68233</t>
        </is>
      </c>
      <c r="E52" s="65" t="n">
        <v>3065.76</v>
      </c>
      <c r="F52" s="66" t="inlineStr">
        <is>
          <t>The Modern Blinds, Inc</t>
        </is>
      </c>
      <c r="G52" s="66" t="inlineStr">
        <is>
          <t>Sample</t>
        </is>
      </c>
      <c r="H52" s="67" t="inlineStr">
        <is>
          <t>罗马帘 (Roman)</t>
        </is>
      </c>
      <c r="I52" s="67" t="n">
        <v>3</v>
      </c>
      <c r="J52" s="68" t="n">
        <v>242.22</v>
      </c>
      <c r="K52" s="68" t="n"/>
      <c r="L52" s="61" t="inlineStr">
        <is>
          <t>已汇款</t>
        </is>
      </c>
    </row>
    <row r="53" ht="22" customHeight="1">
      <c r="A53" s="85" t="n">
        <v>51</v>
      </c>
      <c r="B53" s="86" t="inlineStr">
        <is>
          <t>CWF 68280</t>
        </is>
      </c>
      <c r="C53" s="86" t="n"/>
      <c r="D53" s="87" t="n"/>
      <c r="E53" s="88" t="n"/>
      <c r="F53" s="88" t="inlineStr">
        <is>
          <t>Blinds&amp;Style</t>
        </is>
      </c>
      <c r="G53" s="88" t="inlineStr">
        <is>
          <t>Brian(Drapery)NPB 060926</t>
        </is>
      </c>
      <c r="H53" s="89" t="inlineStr">
        <is>
          <t>布艺帘 (Drapery)</t>
        </is>
      </c>
      <c r="I53" s="89" t="n">
        <v>10</v>
      </c>
      <c r="J53" s="90" t="n">
        <v>1897.7</v>
      </c>
      <c r="K53" s="91" t="inlineStr">
        <is>
          <t>有轨道款需要单独提出</t>
        </is>
      </c>
      <c r="L53" s="61" t="inlineStr">
        <is>
          <t>已汇款</t>
        </is>
      </c>
    </row>
    <row r="54" ht="22" customHeight="1">
      <c r="A54" s="83" t="n">
        <v>52</v>
      </c>
      <c r="B54" s="63" t="inlineStr">
        <is>
          <t>CWF 68281</t>
        </is>
      </c>
      <c r="C54" s="62" t="n"/>
      <c r="D54" s="64" t="n"/>
      <c r="E54" s="66" t="n"/>
      <c r="F54" s="66" t="n"/>
      <c r="G54" s="66" t="n"/>
      <c r="H54" s="67" t="n"/>
      <c r="I54" s="67" t="n"/>
      <c r="J54" s="68" t="n">
        <v>1968.02</v>
      </c>
      <c r="K54" s="91" t="n"/>
      <c r="L54" s="61" t="inlineStr">
        <is>
          <t>已汇款</t>
        </is>
      </c>
    </row>
    <row r="55" ht="22" customHeight="1">
      <c r="A55" s="83" t="n">
        <v>53</v>
      </c>
      <c r="B55" s="63" t="inlineStr">
        <is>
          <t>CWF68283</t>
        </is>
      </c>
      <c r="C55" s="62" t="n"/>
      <c r="D55" s="64" t="n"/>
      <c r="E55" s="66" t="n"/>
      <c r="F55" s="66" t="inlineStr">
        <is>
          <t>Cornerstone Blinds LLC</t>
        </is>
      </c>
      <c r="G55" s="66" t="inlineStr">
        <is>
          <t>BRIGGS</t>
        </is>
      </c>
      <c r="H55" s="67" t="inlineStr">
        <is>
          <t>罗马帘 (Roman)</t>
        </is>
      </c>
      <c r="I55" s="67" t="n">
        <v>1</v>
      </c>
      <c r="J55" s="68" t="n">
        <v>75</v>
      </c>
      <c r="K55" s="68" t="n"/>
      <c r="L55" s="61" t="inlineStr">
        <is>
          <t>已汇款</t>
        </is>
      </c>
    </row>
    <row r="56" ht="22" customHeight="1">
      <c r="A56" s="54" t="n">
        <v>54</v>
      </c>
      <c r="B56" s="63" t="inlineStr">
        <is>
          <t>CWF 68286</t>
        </is>
      </c>
      <c r="C56" s="62" t="n"/>
      <c r="D56" s="64" t="n"/>
      <c r="E56" s="66" t="n"/>
      <c r="F56" s="66" t="inlineStr">
        <is>
          <t>Sweet Home System</t>
        </is>
      </c>
      <c r="G56" s="66" t="inlineStr">
        <is>
          <t>1 Sheer</t>
        </is>
      </c>
      <c r="H56" s="67" t="inlineStr">
        <is>
          <t>布艺帘 (Drapery)</t>
        </is>
      </c>
      <c r="I56" s="67" t="n">
        <v>1</v>
      </c>
      <c r="J56" s="68" t="n">
        <v>139.23</v>
      </c>
      <c r="K56" s="68" t="n"/>
      <c r="L56" s="61" t="inlineStr">
        <is>
          <t>已汇款</t>
        </is>
      </c>
    </row>
    <row r="57" ht="22" customHeight="1">
      <c r="A57" s="85" t="n">
        <v>55</v>
      </c>
      <c r="B57" s="63" t="inlineStr">
        <is>
          <t>CWF68311</t>
        </is>
      </c>
      <c r="C57" s="62" t="n"/>
      <c r="D57" s="64" t="n"/>
      <c r="E57" s="66" t="n"/>
      <c r="F57" s="66" t="inlineStr">
        <is>
          <t>Blinds Plus 2</t>
        </is>
      </c>
      <c r="G57" s="66" t="inlineStr">
        <is>
          <t>German-LP</t>
        </is>
      </c>
      <c r="H57" s="67" t="inlineStr">
        <is>
          <t>罗马帘 (Roman)</t>
        </is>
      </c>
      <c r="I57" s="67" t="n">
        <v>2</v>
      </c>
      <c r="J57" s="68" t="n">
        <v>388.34</v>
      </c>
      <c r="K57" s="68" t="n"/>
      <c r="L57" s="61" t="inlineStr">
        <is>
          <t>已汇款</t>
        </is>
      </c>
    </row>
    <row r="58" ht="22" customHeight="1">
      <c r="A58" s="54" t="n">
        <v>56</v>
      </c>
      <c r="B58" s="86" t="inlineStr">
        <is>
          <t>CWF68348</t>
        </is>
      </c>
      <c r="C58" s="86" t="n"/>
      <c r="D58" s="87" t="n"/>
      <c r="E58" s="88" t="n"/>
      <c r="F58" s="88" t="n"/>
      <c r="G58" s="88" t="n"/>
      <c r="H58" s="89" t="n"/>
      <c r="I58" s="89" t="n"/>
      <c r="J58" s="90" t="n">
        <v>1582.98</v>
      </c>
      <c r="K58" s="91" t="inlineStr">
        <is>
          <t>有轨道款需要单独提出</t>
        </is>
      </c>
      <c r="L58" s="61" t="inlineStr">
        <is>
          <t>已汇款</t>
        </is>
      </c>
    </row>
    <row r="59" ht="22" customHeight="1">
      <c r="A59" s="85" t="n">
        <v>57</v>
      </c>
      <c r="B59" s="63" t="inlineStr">
        <is>
          <t>CWF68370</t>
        </is>
      </c>
      <c r="C59" s="62" t="n"/>
      <c r="D59" s="92" t="n"/>
      <c r="E59" s="93" t="n"/>
      <c r="F59" s="93" t="n"/>
      <c r="G59" s="93" t="n"/>
      <c r="H59" s="94" t="n"/>
      <c r="I59" s="94" t="n"/>
      <c r="J59" s="95" t="n">
        <v>370.6</v>
      </c>
      <c r="K59" s="95" t="n"/>
      <c r="L59" s="61" t="inlineStr">
        <is>
          <t>已汇款</t>
        </is>
      </c>
    </row>
    <row r="60" ht="22" customHeight="1">
      <c r="A60" s="54" t="n">
        <v>58</v>
      </c>
      <c r="B60" s="96" t="inlineStr">
        <is>
          <t>CWF 68179</t>
        </is>
      </c>
      <c r="C60" s="97" t="n">
        <v>149.44</v>
      </c>
      <c r="D60" s="92" t="inlineStr">
        <is>
          <t>未选择布料</t>
        </is>
      </c>
      <c r="E60" s="98" t="n">
        <v>149.44</v>
      </c>
      <c r="F60" s="93" t="inlineStr">
        <is>
          <t>Bayside Shades and Shutters</t>
        </is>
      </c>
      <c r="G60" s="93" t="inlineStr">
        <is>
          <t>Kevin</t>
        </is>
      </c>
      <c r="H60" s="94" t="inlineStr">
        <is>
          <t>罗马帘 (Roman)</t>
        </is>
      </c>
      <c r="I60" s="94" t="n">
        <v>1</v>
      </c>
      <c r="J60" s="95" t="n">
        <v>149.44</v>
      </c>
      <c r="K60" s="95" t="n"/>
      <c r="L60" s="61" t="inlineStr">
        <is>
          <t>已汇款</t>
        </is>
      </c>
    </row>
    <row r="61" ht="22" customHeight="1">
      <c r="A61" s="54" t="n">
        <v>59</v>
      </c>
      <c r="B61" s="96" t="inlineStr">
        <is>
          <t>CWF68361</t>
        </is>
      </c>
      <c r="C61" s="96" t="n"/>
      <c r="D61" s="92" t="n"/>
      <c r="E61" s="93" t="n"/>
      <c r="F61" s="93" t="n"/>
      <c r="G61" s="93" t="n"/>
      <c r="H61" s="94" t="n"/>
      <c r="I61" s="94" t="n"/>
      <c r="J61" s="95" t="n">
        <v>279.98</v>
      </c>
      <c r="K61" s="95" t="n"/>
      <c r="L61" s="61" t="inlineStr">
        <is>
          <t>已汇款</t>
        </is>
      </c>
    </row>
    <row r="62" ht="22" customHeight="1">
      <c r="A62" s="54" t="n">
        <v>60</v>
      </c>
      <c r="B62" s="76" t="inlineStr">
        <is>
          <t>CWF68397</t>
        </is>
      </c>
      <c r="C62" s="96" t="n"/>
      <c r="D62" s="92" t="n"/>
      <c r="E62" s="93" t="n"/>
      <c r="F62" s="93" t="n"/>
      <c r="G62" s="93" t="n"/>
      <c r="H62" s="94" t="n"/>
      <c r="I62" s="94" t="n"/>
      <c r="J62" s="95" t="n">
        <v>620.28</v>
      </c>
      <c r="K62" s="95" t="n"/>
      <c r="L62" s="61" t="inlineStr">
        <is>
          <t>已汇款</t>
        </is>
      </c>
    </row>
    <row r="63" ht="22" customHeight="1">
      <c r="A63" s="54" t="n">
        <v>61</v>
      </c>
      <c r="B63" s="76" t="inlineStr">
        <is>
          <t>CWF68415</t>
        </is>
      </c>
      <c r="C63" s="96" t="n"/>
      <c r="D63" s="92" t="inlineStr">
        <is>
          <t>68415.68412.68397</t>
        </is>
      </c>
      <c r="E63" s="98" t="n">
        <v>1361.96</v>
      </c>
      <c r="F63" s="93" t="n"/>
      <c r="G63" s="93" t="n"/>
      <c r="H63" s="94" t="n"/>
      <c r="I63" s="94" t="n"/>
      <c r="J63" s="95" t="n">
        <v>270</v>
      </c>
      <c r="K63" s="95" t="n"/>
      <c r="L63" s="61" t="inlineStr">
        <is>
          <t>已汇款</t>
        </is>
      </c>
    </row>
    <row r="64" ht="22" customHeight="1">
      <c r="A64" s="54" t="n">
        <v>62</v>
      </c>
      <c r="B64" s="76" t="inlineStr">
        <is>
          <t>CWF68412</t>
        </is>
      </c>
      <c r="C64" s="96" t="n"/>
      <c r="D64" s="92" t="n"/>
      <c r="E64" s="93" t="n"/>
      <c r="F64" s="93" t="n"/>
      <c r="G64" s="93" t="n"/>
      <c r="H64" s="94" t="n"/>
      <c r="I64" s="94" t="n"/>
      <c r="J64" s="95" t="n">
        <v>471.68</v>
      </c>
      <c r="K64" s="95" t="n"/>
      <c r="L64" s="61" t="inlineStr">
        <is>
          <t>已汇款</t>
        </is>
      </c>
    </row>
    <row r="65" ht="22" customHeight="1">
      <c r="A65" s="49" t="n">
        <v>63</v>
      </c>
      <c r="B65" s="96" t="inlineStr">
        <is>
          <t>CWF 68212</t>
        </is>
      </c>
      <c r="C65" s="97" t="n">
        <v>324</v>
      </c>
      <c r="D65" s="92" t="n"/>
      <c r="E65" s="93" t="n"/>
      <c r="F65" s="93" t="inlineStr">
        <is>
          <t>Commerce Window Fashions Departure Time 2026/6/8</t>
        </is>
      </c>
      <c r="G65" s="93" t="inlineStr"/>
      <c r="H65" s="94" t="inlineStr">
        <is>
          <t>布艺帘 (Drapery)</t>
        </is>
      </c>
      <c r="I65" s="94" t="n">
        <v>1</v>
      </c>
      <c r="J65" s="95" t="n">
        <v>324</v>
      </c>
      <c r="K65" s="95" t="n"/>
      <c r="L65" s="61" t="n"/>
    </row>
    <row r="66" ht="22" customHeight="1">
      <c r="A66" s="54" t="n">
        <v>64</v>
      </c>
      <c r="B66" s="96" t="inlineStr">
        <is>
          <t>CWF 68446</t>
        </is>
      </c>
      <c r="C66" s="96" t="n"/>
      <c r="D66" s="92" t="n"/>
      <c r="E66" s="98" t="n">
        <v>280</v>
      </c>
      <c r="F66" s="93" t="n"/>
      <c r="G66" s="93" t="n"/>
      <c r="H66" s="94" t="n"/>
      <c r="I66" s="94" t="n"/>
      <c r="J66" s="95" t="n">
        <v>280.72</v>
      </c>
      <c r="K66" s="95" t="n"/>
      <c r="L66" s="61" t="inlineStr">
        <is>
          <t>已汇款</t>
        </is>
      </c>
    </row>
    <row r="67" ht="22" customHeight="1">
      <c r="A67" s="54" t="n">
        <v>65</v>
      </c>
      <c r="B67" s="96" t="inlineStr">
        <is>
          <t>CWF 68449</t>
        </is>
      </c>
      <c r="C67" s="96" t="n"/>
      <c r="D67" s="92" t="n"/>
      <c r="E67" s="98" t="n">
        <v>1828.32</v>
      </c>
      <c r="F67" s="93" t="n"/>
      <c r="G67" s="93" t="n"/>
      <c r="H67" s="94" t="n"/>
      <c r="I67" s="94" t="n"/>
      <c r="J67" s="95" t="n">
        <v>1828.32</v>
      </c>
      <c r="K67" s="95" t="n"/>
      <c r="L67" s="61" t="inlineStr">
        <is>
          <t>已汇款</t>
        </is>
      </c>
    </row>
    <row r="68" ht="22" customHeight="1">
      <c r="A68" s="54" t="n">
        <v>66</v>
      </c>
      <c r="B68" s="96" t="inlineStr">
        <is>
          <t>CWF 68348-2</t>
        </is>
      </c>
      <c r="C68" s="96" t="n"/>
      <c r="D68" s="92" t="n"/>
      <c r="E68" s="93" t="n"/>
      <c r="F68" s="93" t="n"/>
      <c r="G68" s="93" t="n"/>
      <c r="H68" s="94" t="n"/>
      <c r="I68" s="94" t="n"/>
      <c r="J68" s="95" t="n">
        <v>1019.25</v>
      </c>
      <c r="K68" s="95" t="n"/>
      <c r="L68" s="61" t="inlineStr">
        <is>
          <t>已汇款</t>
        </is>
      </c>
    </row>
    <row r="69" ht="22" customHeight="1">
      <c r="A69" s="99" t="n">
        <v>67</v>
      </c>
      <c r="B69" s="96" t="inlineStr">
        <is>
          <t>CWF 68450</t>
        </is>
      </c>
      <c r="C69" s="96" t="n"/>
      <c r="D69" s="92" t="n"/>
      <c r="E69" s="93" t="n"/>
      <c r="F69" s="93" t="n"/>
      <c r="G69" s="93" t="n"/>
      <c r="H69" s="94" t="n"/>
      <c r="I69" s="94" t="n"/>
      <c r="J69" s="95" t="n">
        <v>90</v>
      </c>
      <c r="K69" s="95" t="n"/>
      <c r="L69" s="61" t="n"/>
    </row>
    <row r="70" ht="22" customHeight="1">
      <c r="A70" s="54" t="n">
        <v>68</v>
      </c>
      <c r="B70" s="96" t="inlineStr">
        <is>
          <t>CWF 68472</t>
        </is>
      </c>
      <c r="C70" s="96" t="n"/>
      <c r="D70" s="92" t="n"/>
      <c r="E70" s="98" t="n">
        <v>1144.34</v>
      </c>
      <c r="F70" s="93" t="n"/>
      <c r="G70" s="93" t="n"/>
      <c r="H70" s="94" t="n"/>
      <c r="I70" s="94" t="n"/>
      <c r="J70" s="95" t="n">
        <v>1143.85</v>
      </c>
      <c r="K70" s="95" t="n"/>
      <c r="L70" s="61" t="inlineStr">
        <is>
          <t>已汇款</t>
        </is>
      </c>
    </row>
    <row r="71" ht="22" customHeight="1">
      <c r="A71" s="54" t="n">
        <v>69</v>
      </c>
      <c r="B71" s="96" t="inlineStr">
        <is>
          <t>CWF 68473</t>
        </is>
      </c>
      <c r="C71" s="96" t="n"/>
      <c r="D71" s="92" t="n"/>
      <c r="E71" s="98" t="n">
        <v>331.94</v>
      </c>
      <c r="F71" s="93" t="n"/>
      <c r="G71" s="93" t="n"/>
      <c r="H71" s="94" t="n"/>
      <c r="I71" s="94" t="n"/>
      <c r="J71" s="95" t="n">
        <v>331.94</v>
      </c>
      <c r="K71" s="95" t="n"/>
      <c r="L71" s="61" t="inlineStr">
        <is>
          <t>已汇款</t>
        </is>
      </c>
    </row>
    <row r="72" ht="22" customHeight="1">
      <c r="A72" s="54" t="n">
        <v>70</v>
      </c>
      <c r="B72" s="96" t="inlineStr">
        <is>
          <t>CWF 68480</t>
        </is>
      </c>
      <c r="C72" s="96" t="n"/>
      <c r="D72" s="92" t="n"/>
      <c r="E72" s="98" t="n">
        <v>160</v>
      </c>
      <c r="F72" s="93" t="n"/>
      <c r="G72" s="93" t="n"/>
      <c r="H72" s="94" t="n"/>
      <c r="I72" s="94" t="n"/>
      <c r="J72" s="95" t="n">
        <v>160</v>
      </c>
      <c r="K72" s="95" t="n"/>
      <c r="L72" s="61" t="inlineStr">
        <is>
          <t>已汇款</t>
        </is>
      </c>
    </row>
    <row r="73" ht="22" customHeight="1">
      <c r="A73" s="54" t="n">
        <v>71</v>
      </c>
      <c r="B73" s="96" t="inlineStr">
        <is>
          <t>CWF 68436</t>
        </is>
      </c>
      <c r="C73" s="96" t="n"/>
      <c r="D73" s="92" t="n"/>
      <c r="E73" s="98" t="n">
        <v>34</v>
      </c>
      <c r="F73" s="93" t="n"/>
      <c r="G73" s="93" t="n"/>
      <c r="H73" s="94" t="n"/>
      <c r="I73" s="94" t="n"/>
      <c r="J73" s="95" t="n">
        <v>34</v>
      </c>
      <c r="K73" s="95" t="n"/>
      <c r="L73" s="61" t="inlineStr">
        <is>
          <t>已汇款</t>
        </is>
      </c>
    </row>
    <row r="74" ht="22" customHeight="1">
      <c r="A74" s="99" t="n"/>
      <c r="B74" s="96" t="inlineStr">
        <is>
          <t>CWF 68461</t>
        </is>
      </c>
      <c r="C74" s="96" t="n"/>
      <c r="D74" s="92" t="n"/>
      <c r="E74" s="93" t="n"/>
      <c r="F74" s="93" t="n"/>
      <c r="G74" s="93" t="n"/>
      <c r="H74" s="94" t="n"/>
      <c r="I74" s="94" t="n"/>
      <c r="J74" s="95" t="n">
        <v>2204</v>
      </c>
      <c r="K74" s="95" t="n"/>
      <c r="L74" s="100" t="n"/>
    </row>
    <row r="75" ht="22" customHeight="1">
      <c r="A75" s="99" t="n"/>
      <c r="B75" s="96" t="inlineStr">
        <is>
          <t>CWF 68545</t>
        </is>
      </c>
      <c r="C75" s="96" t="n"/>
      <c r="D75" s="92" t="n"/>
      <c r="E75" s="93" t="n"/>
      <c r="F75" s="93" t="n"/>
      <c r="G75" s="93" t="n"/>
      <c r="H75" s="94" t="n"/>
      <c r="I75" s="94" t="n"/>
      <c r="J75" s="95" t="n">
        <v>225</v>
      </c>
      <c r="K75" s="95" t="n"/>
      <c r="L75" s="100" t="n"/>
    </row>
    <row r="76" ht="22" customHeight="1">
      <c r="A76" s="99" t="n"/>
      <c r="B76" s="96" t="inlineStr">
        <is>
          <t>CWF 68457</t>
        </is>
      </c>
      <c r="C76" s="96" t="n"/>
      <c r="D76" s="92" t="n"/>
      <c r="E76" s="93" t="n"/>
      <c r="F76" s="93" t="n"/>
      <c r="G76" s="93" t="n"/>
      <c r="H76" s="94" t="n"/>
      <c r="I76" s="94" t="n"/>
      <c r="J76" s="95" t="n">
        <v>764.5</v>
      </c>
      <c r="K76" s="95" t="n"/>
      <c r="L76" s="100" t="n"/>
    </row>
    <row r="77" ht="22" customHeight="1">
      <c r="A77" s="99" t="n"/>
      <c r="B77" s="96" t="inlineStr">
        <is>
          <t>CWF 68561</t>
        </is>
      </c>
      <c r="C77" s="96" t="n"/>
      <c r="D77" s="92" t="n"/>
      <c r="E77" s="93" t="n"/>
      <c r="F77" s="93" t="n"/>
      <c r="G77" s="93" t="n"/>
      <c r="H77" s="94" t="n"/>
      <c r="I77" s="94" t="n"/>
      <c r="J77" s="95" t="n">
        <v>2262.55</v>
      </c>
      <c r="K77" s="95" t="n"/>
      <c r="L77" s="100" t="n"/>
    </row>
    <row r="78" ht="22" customHeight="1">
      <c r="A78" s="99" t="n"/>
      <c r="B78" s="96" t="inlineStr">
        <is>
          <t>CWF 68568</t>
        </is>
      </c>
      <c r="C78" s="96" t="n"/>
      <c r="D78" s="92" t="n"/>
      <c r="E78" s="93" t="n"/>
      <c r="F78" s="93" t="n"/>
      <c r="G78" s="93" t="n"/>
      <c r="H78" s="94" t="n"/>
      <c r="I78" s="94" t="n"/>
      <c r="J78" s="95" t="n">
        <v>353.77</v>
      </c>
      <c r="K78" s="95" t="n"/>
      <c r="L78" s="100" t="n"/>
    </row>
    <row r="79" ht="22" customHeight="1">
      <c r="A79" s="99" t="n"/>
      <c r="B79" s="96" t="inlineStr">
        <is>
          <t>CWF 68574</t>
        </is>
      </c>
      <c r="C79" s="96" t="n"/>
      <c r="D79" s="92" t="n"/>
      <c r="E79" s="93" t="n"/>
      <c r="F79" s="93" t="n"/>
      <c r="G79" s="93" t="n"/>
      <c r="H79" s="94" t="n"/>
      <c r="I79" s="94" t="n"/>
      <c r="J79" s="95" t="n">
        <v>595.13</v>
      </c>
      <c r="K79" s="95" t="n"/>
      <c r="L79" s="100" t="n"/>
    </row>
    <row r="80" ht="22" customHeight="1">
      <c r="A80" s="99" t="n"/>
      <c r="B80" s="96" t="inlineStr">
        <is>
          <t>CWF 68589</t>
        </is>
      </c>
      <c r="C80" s="96" t="n"/>
      <c r="D80" s="92" t="n"/>
      <c r="E80" s="93" t="n"/>
      <c r="F80" s="93" t="n"/>
      <c r="G80" s="93" t="n"/>
      <c r="H80" s="94" t="n"/>
      <c r="I80" s="94" t="n"/>
      <c r="J80" s="95" t="n">
        <v>289.03</v>
      </c>
      <c r="K80" s="95" t="n"/>
      <c r="L80" s="100" t="n"/>
    </row>
    <row r="81" ht="22" customHeight="1">
      <c r="A81" s="99" t="n"/>
      <c r="B81" s="96" t="n"/>
      <c r="C81" s="96" t="n"/>
      <c r="D81" s="92" t="n"/>
      <c r="E81" s="93" t="n"/>
      <c r="F81" s="93" t="n"/>
      <c r="G81" s="93" t="n"/>
      <c r="H81" s="94" t="n"/>
      <c r="I81" s="94" t="n"/>
      <c r="J81" s="95" t="n"/>
      <c r="K81" s="95" t="n"/>
      <c r="L81" s="100" t="n"/>
    </row>
    <row r="82" ht="22" customHeight="1">
      <c r="A82" s="99" t="n"/>
      <c r="B82" s="96" t="n"/>
      <c r="C82" s="96" t="n"/>
      <c r="D82" s="92" t="n"/>
      <c r="E82" s="93" t="n"/>
      <c r="F82" s="93" t="n"/>
      <c r="G82" s="93" t="n"/>
      <c r="H82" s="94" t="n"/>
      <c r="I82" s="94" t="n"/>
      <c r="J82" s="95" t="n"/>
      <c r="K82" s="95" t="n"/>
      <c r="L82" s="100" t="n"/>
    </row>
    <row r="83" ht="22" customHeight="1">
      <c r="A83" s="99" t="n"/>
      <c r="B83" s="96" t="n"/>
      <c r="C83" s="96" t="n"/>
      <c r="D83" s="92" t="n"/>
      <c r="E83" s="93" t="n"/>
      <c r="F83" s="93" t="n"/>
      <c r="G83" s="93" t="n"/>
      <c r="H83" s="94" t="n"/>
      <c r="I83" s="94" t="n"/>
      <c r="J83" s="95" t="n"/>
      <c r="K83" s="95" t="n"/>
      <c r="L83" s="100" t="n"/>
    </row>
    <row r="84" ht="22" customHeight="1">
      <c r="A84" s="99" t="n"/>
      <c r="B84" s="96" t="n"/>
      <c r="C84" s="96" t="n"/>
      <c r="D84" s="92" t="n"/>
      <c r="E84" s="93" t="n"/>
      <c r="F84" s="93" t="n"/>
      <c r="G84" s="93" t="n"/>
      <c r="H84" s="94" t="n"/>
      <c r="I84" s="94" t="n"/>
      <c r="J84" s="95" t="n"/>
      <c r="K84" s="95" t="n"/>
      <c r="L84" s="100" t="n"/>
    </row>
    <row r="85" ht="22" customHeight="1">
      <c r="A85" s="99" t="n"/>
      <c r="B85" s="96" t="n"/>
      <c r="C85" s="96" t="n"/>
      <c r="D85" s="92" t="n"/>
      <c r="E85" s="93" t="n"/>
      <c r="F85" s="93" t="n"/>
      <c r="G85" s="93" t="n"/>
      <c r="H85" s="94" t="n"/>
      <c r="I85" s="94" t="n"/>
      <c r="J85" s="95" t="n"/>
      <c r="K85" s="95" t="n"/>
      <c r="L85" s="100" t="n"/>
    </row>
    <row r="86" ht="22" customHeight="1">
      <c r="A86" s="99" t="n"/>
      <c r="B86" s="96" t="n"/>
      <c r="C86" s="96" t="n"/>
      <c r="D86" s="92" t="n"/>
      <c r="E86" s="93" t="n"/>
      <c r="F86" s="93" t="n"/>
      <c r="G86" s="93" t="n"/>
      <c r="H86" s="94" t="n"/>
      <c r="I86" s="94" t="n"/>
      <c r="J86" s="95" t="n"/>
      <c r="K86" s="95" t="n"/>
      <c r="L86" s="100" t="n"/>
    </row>
    <row r="87" ht="22" customHeight="1">
      <c r="A87" s="99" t="n"/>
      <c r="B87" s="96" t="n"/>
      <c r="C87" s="96" t="n"/>
      <c r="D87" s="92" t="n"/>
      <c r="E87" s="93" t="n"/>
      <c r="F87" s="93" t="n"/>
      <c r="G87" s="93" t="n"/>
      <c r="H87" s="94" t="n"/>
      <c r="I87" s="94" t="n"/>
      <c r="J87" s="95" t="n"/>
      <c r="K87" s="95" t="n"/>
      <c r="L87" s="100" t="n"/>
    </row>
    <row r="88" ht="22" customHeight="1">
      <c r="A88" s="99" t="n"/>
      <c r="B88" s="96" t="n"/>
      <c r="C88" s="96" t="n"/>
      <c r="D88" s="92" t="n"/>
      <c r="E88" s="93" t="n"/>
      <c r="F88" s="93" t="n"/>
      <c r="G88" s="93" t="n"/>
      <c r="H88" s="94" t="n"/>
      <c r="I88" s="94" t="n"/>
      <c r="J88" s="95" t="n"/>
      <c r="K88" s="95" t="n"/>
      <c r="L88" s="100" t="n"/>
    </row>
    <row r="89" ht="22" customHeight="1">
      <c r="A89" s="99" t="n"/>
      <c r="B89" s="96" t="n"/>
      <c r="C89" s="96" t="n"/>
      <c r="D89" s="92" t="n"/>
      <c r="E89" s="93" t="n"/>
      <c r="F89" s="93" t="n"/>
      <c r="G89" s="93" t="n"/>
      <c r="H89" s="94" t="n"/>
      <c r="I89" s="94" t="n"/>
      <c r="J89" s="95" t="n"/>
      <c r="K89" s="95" t="n"/>
      <c r="L89" s="100" t="n"/>
    </row>
    <row r="90" ht="22" customHeight="1">
      <c r="A90" s="99" t="n"/>
      <c r="B90" s="96" t="n"/>
      <c r="C90" s="96" t="n"/>
      <c r="D90" s="92" t="n"/>
      <c r="E90" s="93" t="n"/>
      <c r="F90" s="93" t="n"/>
      <c r="G90" s="93" t="n"/>
      <c r="H90" s="94" t="n"/>
      <c r="I90" s="94" t="n"/>
      <c r="J90" s="95" t="n"/>
      <c r="K90" s="95" t="n"/>
      <c r="L90" s="100" t="n"/>
    </row>
    <row r="91" ht="22" customHeight="1">
      <c r="A91" s="99" t="n"/>
      <c r="B91" s="76" t="n"/>
      <c r="C91" s="96" t="n"/>
      <c r="D91" s="92" t="n"/>
      <c r="E91" s="93" t="n"/>
      <c r="F91" s="93" t="n"/>
      <c r="G91" s="93" t="n"/>
      <c r="H91" s="94" t="n"/>
      <c r="I91" s="94" t="n"/>
      <c r="J91" s="95" t="n"/>
      <c r="K91" s="95" t="n"/>
      <c r="L91" s="100" t="n"/>
    </row>
    <row r="92" ht="22" customHeight="1">
      <c r="A92" s="99" t="n"/>
      <c r="B92" s="76" t="n"/>
      <c r="C92" s="96" t="n"/>
      <c r="D92" s="92" t="n"/>
      <c r="E92" s="93" t="n"/>
      <c r="F92" s="93" t="n"/>
      <c r="G92" s="93" t="n"/>
      <c r="H92" s="94" t="n"/>
      <c r="I92" s="94" t="n"/>
      <c r="J92" s="95" t="n"/>
      <c r="K92" s="95" t="n"/>
      <c r="L92" s="100" t="n"/>
    </row>
    <row r="93" ht="22" customHeight="1">
      <c r="A93" s="49" t="n"/>
      <c r="B93" s="52" t="n"/>
      <c r="C93" s="52" t="n"/>
      <c r="D93" s="101" t="n"/>
      <c r="E93" s="52" t="n"/>
      <c r="F93" s="52" t="n"/>
      <c r="G93" s="52" t="n"/>
      <c r="H93" s="49" t="n"/>
      <c r="I93" s="49" t="n"/>
      <c r="J93" s="52" t="n"/>
      <c r="K93" s="52" t="n"/>
      <c r="L93" s="49" t="n"/>
    </row>
    <row r="94" ht="22" customHeight="1">
      <c r="A94" s="49" t="n"/>
      <c r="B94" s="102" t="n"/>
      <c r="C94" s="102" t="n"/>
      <c r="D94" s="103" t="n"/>
      <c r="E94" s="104" t="n"/>
      <c r="F94" s="104" t="n"/>
      <c r="G94" s="104" t="n"/>
      <c r="H94" s="105" t="n"/>
      <c r="I94" s="105" t="n"/>
      <c r="J94" s="106" t="n"/>
      <c r="K94" s="106" t="n"/>
      <c r="L94" s="107" t="n"/>
    </row>
    <row r="95" ht="22" customHeight="1">
      <c r="A95" s="49" t="n"/>
      <c r="B95" s="102" t="n"/>
      <c r="C95" s="102" t="n"/>
      <c r="D95" s="103" t="n"/>
      <c r="E95" s="104" t="n"/>
      <c r="F95" s="104" t="n"/>
      <c r="G95" s="104" t="n"/>
      <c r="H95" s="105" t="n"/>
      <c r="I95" s="105" t="n"/>
      <c r="J95" s="106" t="n"/>
      <c r="K95" s="106" t="n"/>
      <c r="L95" s="107" t="n"/>
    </row>
    <row r="96" ht="22" customHeight="1">
      <c r="A96" s="49" t="n"/>
      <c r="B96" s="102" t="n"/>
      <c r="C96" s="102" t="n"/>
      <c r="D96" s="103" t="n"/>
      <c r="E96" s="104" t="n"/>
      <c r="F96" s="104" t="n"/>
      <c r="G96" s="104" t="n"/>
      <c r="H96" s="105" t="n"/>
      <c r="I96" s="105" t="n"/>
      <c r="J96" s="106" t="n"/>
      <c r="K96" s="106" t="n"/>
      <c r="L96" s="107" t="n"/>
    </row>
    <row r="97" ht="28" customHeight="1">
      <c r="A97" s="52" t="n"/>
      <c r="B97" s="108" t="inlineStr">
        <is>
          <t>总计 (Totals)</t>
        </is>
      </c>
      <c r="C97" s="109" t="n"/>
      <c r="D97" s="110" t="n"/>
      <c r="E97" s="109" t="n"/>
      <c r="F97" s="109" t="n"/>
      <c r="G97" s="109" t="n"/>
      <c r="H97" s="109" t="n"/>
      <c r="I97" s="109" t="n"/>
      <c r="J97" s="111">
        <f>SUM(J5:J92)</f>
        <v/>
      </c>
      <c r="K97" s="111">
        <f>SUM(K5:K92)</f>
        <v/>
      </c>
      <c r="L97" s="112" t="inlineStr"/>
    </row>
  </sheetData>
  <mergeCells count="3">
    <mergeCell ref="B2:L2"/>
    <mergeCell ref="B97:I97"/>
    <mergeCell ref="B1:L1"/>
  </mergeCells>
  <pageMargins left="0.75" right="0.75" top="1" bottom="1" header="0.5" footer="0.5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2026-06-10T14:06:00Z</dcterms:created>
  <dcterms:modified xmlns:dcterms="http://purl.org/dc/terms/" xmlns:xsi="http://www.w3.org/2001/XMLSchema-instance" xsi:type="dcterms:W3CDTF">2026-07-19T05:35:34Z</dcterms:modified>
  <cp:lastModifiedBy>孙刚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A2828A2521386FDFA6BC3C6A2CE10F21_43</vt:lpwstr>
  </property>
  <property name="KSOProductBuildVer" fmtid="{D5CDD505-2E9C-101B-9397-08002B2CF9AE}" pid="3">
    <vt:lpwstr xmlns:vt="http://schemas.openxmlformats.org/officeDocument/2006/docPropsVTypes">2052-12.1.25880.25880</vt:lpwstr>
  </property>
  <property name="CalculationRule" fmtid="{D5CDD505-2E9C-101B-9397-08002B2CF9AE}" pid="4">
    <vt:i4 xmlns:vt="http://schemas.openxmlformats.org/officeDocument/2006/docPropsVTypes">0</vt:i4>
  </property>
</Properties>
</file>