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6c4e62b15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erce订单汇总" sheetId="1" r:id="Rbe5bbaf8b49f484c"/>
  </x:sheets>
</x:workbook>
</file>

<file path=xl/sharedStrings.xml><?xml version="1.0" encoding="utf-8"?>
<x:sst xmlns:x="http://schemas.openxmlformats.org/spreadsheetml/2006/main">
  <x:si>
    <x:t xml:space="preserve">Braun Blinds - Commerce (CWF) 订单与账单核对汇总表</x:t>
  </x:si>
  <x:si>
    <x:t xml:space="preserve">生成时间: 2026-06-16 17:46:03  |  总订单笔数: 55  |  总结算金额: $37206.96</x:t>
  </x:si>
  <x:si>
    <x:t xml:space="preserve">PO号</x:t>
  </x:si>
  <x:si>
    <x:t xml:space="preserve">以前发邮件</x:t>
  </x:si>
  <x:si>
    <x:t xml:space="preserve">已到账金额</x:t>
  </x:si>
  <x:si>
    <x:t xml:space="preserve">客户名字 (Dealer)</x:t>
  </x:si>
  <x:si>
    <x:t xml:space="preserve">项目代号 (Sidemark)</x:t>
  </x:si>
  <x:si>
    <x:t xml:space="preserve">产品类型</x:t>
  </x:si>
  <x:si>
    <x:t xml:space="preserve">数量 (Qty)</x:t>
  </x:si>
  <x:si>
    <x:t xml:space="preserve">结算金额 (USD)</x:t>
  </x:si>
  <x:si>
    <x:t xml:space="preserve">差额</x:t>
  </x:si>
  <x:si>
    <x:t xml:space="preserve">来源状态</x:t>
  </x:si>
  <x:si>
    <x:t xml:space="preserve">对应账单文件</x:t>
  </x:si>
  <x:si>
    <x:t xml:space="preserve">对应生产工艺单</x:t>
  </x:si>
  <x:si>
    <x:t xml:space="preserve">CWF 67835</x:t>
  </x:si>
  <x:si>
    <x:t xml:space="preserve">Rodeo Blinds</x:t>
  </x:si>
  <x:si>
    <x:t xml:space="preserve">Liz</x:t>
  </x:si>
  <x:si>
    <x:t xml:space="preserve">布艺帘 (Drapery)</x:t>
  </x:si>
  <x:si>
    <x:t xml:space="preserve">🆕 邮件新生成</x:t>
  </x:si>
  <x:si>
    <x:t xml:space="preserve">CWF 67835_Liz(Rodeo_Blinds)-2_Invoice.html</x:t>
  </x:si>
  <x:si>
    <x:t xml:space="preserve">CWF 67835_Liz(Rodeo_Blinds)-2_Production_Order.html</x:t>
  </x:si>
  <x:si>
    <x:t xml:space="preserve">CWF 68281</x:t>
  </x:si>
  <x:si>
    <x:t xml:space="preserve">Blinds&amp;Style</x:t>
  </x:si>
  <x:si>
    <x:t xml:space="preserve">Brian(Roman)NPB 060926</x:t>
  </x:si>
  <x:si>
    <x:t xml:space="preserve">罗马帘 (Roman)</x:t>
  </x:si>
  <x:si>
    <x:t xml:space="preserve">CWF 68281_Brian_Roman(BlindsStyle)_Invoice.html</x:t>
  </x:si>
  <x:si>
    <x:t xml:space="preserve">CWF 68281_Brian_Roman(BlindsStyle)_Production_Order.html</x:t>
  </x:si>
  <x:si>
    <x:t xml:space="preserve">CWF 67581</x:t>
  </x:si>
  <x:si>
    <x:r>
      <x:rPr>
        <x:b/>
        <x:sz val="1000"/>
        <x:color rgb="FF000000"/>
        <x:rFont val="Arial"/>
      </x:rPr>
      <x:t xml:space="preserve">1837.32</x:t>
    </x:r>
    <x:r>
      <x:rPr>
        <x:b/>
        <x:sz val="1000"/>
        <x:color rgb="FF000000"/>
        <x:rFont val="宋体-简"/>
      </x:rPr>
      <x:t xml:space="preserve">（</x:t>
    </x:r>
    <x:r>
      <x:rPr>
        <x:b/>
        <x:sz val="1000"/>
        <x:color rgb="FF000000"/>
        <x:rFont val="Arial"/>
      </x:rPr>
      <x:t xml:space="preserve">80</x:t>
    </x:r>
    <x:r>
      <x:rPr>
        <x:b/>
        <x:sz val="1000"/>
        <x:color rgb="FF000000"/>
        <x:rFont val="宋体-简"/>
      </x:rPr>
      <x:t xml:space="preserve">，</x:t>
    </x:r>
    <x:r>
      <x:rPr>
        <x:b/>
        <x:sz val="1000"/>
        <x:color rgb="FF000000"/>
        <x:rFont val="Arial"/>
      </x:rPr>
      <x:t xml:space="preserve">67581</x:t>
    </x:r>
    <x:r>
      <x:rPr>
        <x:b/>
        <x:sz val="1000"/>
        <x:color rgb="FF000000"/>
        <x:rFont val="宋体-简"/>
      </x:rPr>
      <x:t xml:space="preserve">，</x:t>
    </x:r>
    <x:r>
      <x:rPr>
        <x:b/>
        <x:sz val="1000"/>
        <x:color rgb="FF000000"/>
        <x:rFont val="Arial"/>
      </x:rPr>
      <x:t xml:space="preserve">67599</x:t>
    </x:r>
    <x:r>
      <x:rPr>
        <x:b/>
        <x:sz val="1000"/>
        <x:color rgb="FF000000"/>
        <x:rFont val="宋体-简"/>
      </x:rPr>
      <x:t xml:space="preserve">）</x:t>
    </x:r>
  </x:si>
  <x:si>
    <x:t xml:space="preserve">Blinds America</x:t>
  </x:si>
  <x:si>
    <x:t xml:space="preserve">Bailey</x:t>
  </x:si>
  <x:si>
    <x:t xml:space="preserve">📂 历史已生成</x:t>
  </x:si>
  <x:si>
    <x:t xml:space="preserve">CWF 67581_(Blinds_America)_Invoice.html</x:t>
  </x:si>
  <x:si>
    <x:t xml:space="preserve">CWF 67581_(Blinds_America)_Production_Order.html</x:t>
  </x:si>
  <x:si>
    <x:t xml:space="preserve">CWF 67599</x:t>
  </x:si>
  <x:si>
    <x:t xml:space="preserve">New Horizon Home Decorators</x:t>
  </x:si>
  <x:si>
    <x:t xml:space="preserve">Leah Alongi PO#30478</x:t>
  </x:si>
  <x:si>
    <x:t xml:space="preserve">CWF 67599_(New_horizon)_Invoice.html</x:t>
  </x:si>
  <x:si>
    <x:t xml:space="preserve">CWF 67599_(New_horizon)_Production_Order.html</x:t>
  </x:si>
  <x:si>
    <x:t xml:space="preserve">CWF67635</x:t>
  </x:si>
  <x:si>
    <x:r>
      <x:rPr>
        <x:b/>
        <x:sz val="1000"/>
        <x:color rgb="FF000000"/>
        <x:rFont val="Arial"/>
      </x:rPr>
      <x:t xml:space="preserve">436.8</x:t>
    </x:r>
    <x:r>
      <x:rPr>
        <x:b/>
        <x:sz val="1000"/>
        <x:color rgb="FF000000"/>
        <x:rFont val="宋体-简"/>
      </x:rPr>
      <x:t xml:space="preserve">（</x:t>
    </x:r>
    <x:r>
      <x:rPr>
        <x:b/>
        <x:sz val="1000"/>
        <x:color rgb="FF000000"/>
        <x:rFont val="Arial"/>
      </x:rPr>
      <x:t xml:space="preserve">67635</x:t>
    </x:r>
    <x:r>
      <x:rPr>
        <x:b/>
        <x:sz val="1000"/>
        <x:color rgb="FF000000"/>
        <x:rFont val="宋体-简"/>
      </x:rPr>
      <x:t xml:space="preserve">，</x:t>
    </x:r>
    <x:r>
      <x:rPr>
        <x:b/>
        <x:sz val="1000"/>
        <x:color rgb="FF000000"/>
        <x:rFont val="Arial"/>
      </x:rPr>
      <x:t xml:space="preserve">67648</x:t>
    </x:r>
    <x:r>
      <x:rPr>
        <x:b/>
        <x:sz val="1000"/>
        <x:color rgb="FF000000"/>
        <x:rFont val="宋体-简"/>
      </x:rPr>
      <x:t xml:space="preserve">）</x:t>
    </x:r>
  </x:si>
  <x:si>
    <x:t xml:space="preserve">Blinds Plus</x:t>
  </x:si>
  <x:si>
    <x:t xml:space="preserve">Donna-322(Drapery)</x:t>
  </x:si>
  <x:si>
    <x:t xml:space="preserve">CWF67635_Donna(Drapery)(Blinds_Plus)_Invoice.html</x:t>
  </x:si>
  <x:si>
    <x:t xml:space="preserve">CWF67635_Donna(Drapery)(Blinds_Plus)_Production_Order.html</x:t>
  </x:si>
  <x:si>
    <x:t xml:space="preserve">Donna-322(Roman)</x:t>
  </x:si>
  <x:si>
    <x:t xml:space="preserve">CWF67635_Donna(Roman)(Blinds_Plus)_Invoice.html</x:t>
  </x:si>
  <x:si>
    <x:t xml:space="preserve">CWF67635_Donna(Roman)(Blinds_Plus)_Production_Order.html</x:t>
  </x:si>
  <x:si>
    <x:t xml:space="preserve">CWF 67648</x:t>
  </x:si>
  <x:si>
    <x:t xml:space="preserve">The Shades Experts LLC</x:t>
  </x:si>
  <x:si>
    <x:t xml:space="preserve">Suzzane</x:t>
  </x:si>
  <x:si>
    <x:t xml:space="preserve">CWF 67648_(The_Shades_Experts)_Invoice.html</x:t>
  </x:si>
  <x:si>
    <x:t xml:space="preserve">CWF 67648_(The_Shades_Experts)_Production_Order.html</x:t>
  </x:si>
  <x:si>
    <x:t xml:space="preserve">CWF 67689</x:t>
  </x:si>
  <x:si>
    <x:t xml:space="preserve">The Shade Factory</x:t>
  </x:si>
  <x:si>
    <x:t xml:space="preserve">Stephanie Felsher</x:t>
  </x:si>
  <x:si>
    <x:t xml:space="preserve">CWF 67689_Revised_(The_Shade_Factory)_Invoice.html</x:t>
  </x:si>
  <x:si>
    <x:t xml:space="preserve">CWF 67689_Revised_(The_Shade_Factory)_Production_Order.html</x:t>
  </x:si>
  <x:si>
    <x:t xml:space="preserve">CWF67702</x:t>
  </x:si>
  <x:si>
    <x:r>
      <x:rPr>
        <x:b/>
        <x:sz val="1000"/>
        <x:color rgb="FF000000"/>
        <x:rFont val="Arial"/>
      </x:rPr>
      <x:t xml:space="preserve">1286.64</x:t>
    </x:r>
    <x:r>
      <x:rPr>
        <x:b/>
        <x:sz val="1000"/>
        <x:color rgb="FF000000"/>
        <x:rFont val="宋体-简"/>
      </x:rPr>
      <x:t xml:space="preserve">（</x:t>
    </x:r>
    <x:r>
      <x:rPr>
        <x:b/>
        <x:sz val="1000"/>
        <x:color rgb="FF000000"/>
        <x:rFont val="Arial"/>
      </x:rPr>
      <x:t xml:space="preserve">67702</x:t>
    </x:r>
    <x:r>
      <x:rPr>
        <x:b/>
        <x:sz val="1000"/>
        <x:color rgb="FF000000"/>
        <x:rFont val="宋体-简"/>
      </x:rPr>
      <x:t xml:space="preserve">，</x:t>
    </x:r>
    <x:r>
      <x:rPr>
        <x:b/>
        <x:sz val="1000"/>
        <x:color rgb="FF000000"/>
        <x:rFont val="Arial"/>
      </x:rPr>
      <x:t xml:space="preserve">67635</x:t>
    </x:r>
    <x:r>
      <x:rPr>
        <x:b/>
        <x:sz val="1000"/>
        <x:color rgb="FF000000"/>
        <x:rFont val="宋体-简"/>
      </x:rPr>
      <x:t xml:space="preserve">）</x:t>
    </x:r>
  </x:si>
  <x:si>
    <x:t xml:space="preserve">Cornerstone Blinds LLC</x:t>
  </x:si>
  <x:si>
    <x:t xml:space="preserve">MILES</x:t>
  </x:si>
  <x:si>
    <x:t xml:space="preserve">CWF67702_MILES(Cornerstone)_Invoice.html</x:t>
  </x:si>
  <x:si>
    <x:t xml:space="preserve">CWF67702_MILES(Cornerstone)_Production_Order.html</x:t>
  </x:si>
  <x:si>
    <x:t xml:space="preserve">CWF 67723</x:t>
  </x:si>
  <x:si>
    <x:t xml:space="preserve">Maloney PO#30483</x:t>
  </x:si>
  <x:si>
    <x:t xml:space="preserve">CWF 67723_Maloney_(New_horizon)_Invoice.html</x:t>
  </x:si>
  <x:si>
    <x:t xml:space="preserve">CWF 67723_Maloney_(New_horizon)_Production_Order.html</x:t>
  </x:si>
  <x:si>
    <x:t xml:space="preserve">CWF 67789</x:t>
  </x:si>
  <x:si>
    <x:r>
      <x:rPr>
        <x:b/>
        <x:sz val="1000"/>
        <x:color rgb="FF000000"/>
        <x:rFont val="Arial"/>
      </x:rPr>
      <x:t xml:space="preserve">5602.36</x:t>
    </x:r>
    <x:r>
      <x:rPr>
        <x:b/>
        <x:sz val="1000"/>
        <x:color rgb="FF000000"/>
        <x:rFont val="宋体-简"/>
      </x:rPr>
      <x:t xml:space="preserve">（</x:t>
    </x:r>
    <x:r>
      <x:rPr>
        <x:b/>
        <x:sz val="1000"/>
        <x:color rgb="FF000000"/>
        <x:rFont val="Arial"/>
      </x:rPr>
      <x:t xml:space="preserve">67789</x:t>
    </x:r>
    <x:r>
      <x:rPr>
        <x:b/>
        <x:sz val="1000"/>
        <x:color rgb="FF000000"/>
        <x:rFont val="宋体-简"/>
      </x:rPr>
      <x:t xml:space="preserve">，</x:t>
    </x:r>
    <x:r>
      <x:rPr>
        <x:b/>
        <x:sz val="1000"/>
        <x:color rgb="FF000000"/>
        <x:rFont val="Arial"/>
      </x:rPr>
      <x:t xml:space="preserve">67940</x:t>
    </x:r>
    <x:r>
      <x:rPr>
        <x:b/>
        <x:sz val="1000"/>
        <x:color rgb="FF000000"/>
        <x:rFont val="宋体-简"/>
      </x:rPr>
      <x:t xml:space="preserve">，</x:t>
    </x:r>
    <x:r>
      <x:rPr>
        <x:b/>
        <x:sz val="1000"/>
        <x:color rgb="FF000000"/>
        <x:rFont val="Arial"/>
      </x:rPr>
      <x:t xml:space="preserve">67906</x:t>
    </x:r>
    <x:r>
      <x:rPr>
        <x:b/>
        <x:sz val="1000"/>
        <x:color rgb="FF000000"/>
        <x:rFont val="宋体-简"/>
      </x:rPr>
      <x:t xml:space="preserve">，</x:t>
    </x:r>
    <x:r>
      <x:rPr>
        <x:b/>
        <x:sz val="1000"/>
        <x:color rgb="FF000000"/>
        <x:rFont val="Arial"/>
      </x:rPr>
      <x:t xml:space="preserve">67911</x:t>
    </x:r>
    <x:r>
      <x:rPr>
        <x:b/>
        <x:sz val="1000"/>
        <x:color rgb="FF000000"/>
        <x:rFont val="宋体-简"/>
      </x:rPr>
      <x:t xml:space="preserve">，</x:t>
    </x:r>
    <x:r>
      <x:rPr>
        <x:b/>
        <x:sz val="1000"/>
        <x:color rgb="FF000000"/>
        <x:rFont val="Arial"/>
      </x:rPr>
      <x:t xml:space="preserve">67864</x:t>
    </x:r>
    <x:r>
      <x:rPr>
        <x:b/>
        <x:sz val="1000"/>
        <x:color rgb="FF000000"/>
        <x:rFont val="宋体-简"/>
      </x:rPr>
      <x:t xml:space="preserve">，</x:t>
    </x:r>
    <x:r>
      <x:rPr>
        <x:b/>
        <x:sz val="1000"/>
        <x:color rgb="FF000000"/>
        <x:rFont val="Arial"/>
      </x:rPr>
      <x:t xml:space="preserve">67863</x:t>
    </x:r>
    <x:r>
      <x:rPr>
        <x:b/>
        <x:sz val="1000"/>
        <x:color rgb="FF000000"/>
        <x:rFont val="宋体-简"/>
      </x:rPr>
      <x:t xml:space="preserve">，</x:t>
    </x:r>
    <x:r>
      <x:rPr>
        <x:b/>
        <x:sz val="1000"/>
        <x:color rgb="FF000000"/>
        <x:rFont val="Arial"/>
      </x:rPr>
      <x:t xml:space="preserve">67904</x:t>
    </x:r>
    <x:r>
      <x:rPr>
        <x:b/>
        <x:sz val="1000"/>
        <x:color rgb="FF000000"/>
        <x:rFont val="宋体-简"/>
      </x:rPr>
      <x:t xml:space="preserve">）</x:t>
    </x:r>
  </x:si>
  <x:si>
    <x:t xml:space="preserve">South Jersey Blinds and Beyond LLC</x:t>
  </x:si>
  <x:si>
    <x:t xml:space="preserve">Tripicia</x:t>
  </x:si>
  <x:si>
    <x:t xml:space="preserve">CWF 67789_Tripicia_(South_Jersey)_Invoice.html</x:t>
  </x:si>
  <x:si>
    <x:t xml:space="preserve">CWF 67789_Tripicia_(South_Jersey)_Production_Order.html</x:t>
  </x:si>
  <x:si>
    <x:t xml:space="preserve">CWF67838</x:t>
  </x:si>
  <x:si>
    <x:t xml:space="preserve">Hood 2</x:t>
  </x:si>
  <x:si>
    <x:t xml:space="preserve">CWF67838_RevisedHood2(Cornerstone)_Invoice.html</x:t>
  </x:si>
  <x:si>
    <x:t xml:space="preserve">CWF67838_RevisedHood2(Cornerstone)_Production_Order.html</x:t>
  </x:si>
  <x:si>
    <x:t xml:space="preserve">CWF 67863</x:t>
  </x:si>
  <x:si>
    <x:t xml:space="preserve">Cecala PO#30498</x:t>
  </x:si>
  <x:si>
    <x:t xml:space="preserve">CWF 67863_(New_horizon)_Invoice.html</x:t>
  </x:si>
  <x:si>
    <x:t xml:space="preserve">CWF 67863_(New_horizon)_Production_Order.html</x:t>
  </x:si>
  <x:si>
    <x:t xml:space="preserve">CWF 67864</x:t>
  </x:si>
  <x:si>
    <x:t xml:space="preserve">Blinds america</x:t>
  </x:si>
  <x:si>
    <x:t xml:space="preserve">Elizabeth(Drapery)</x:t>
  </x:si>
  <x:si>
    <x:t xml:space="preserve">CWF 67864_Elizabeth(Blinds_america)_Invoice.html</x:t>
  </x:si>
  <x:si>
    <x:t xml:space="preserve">CWF 67864_Elizabeth(Blinds_america)_Production_Order.html</x:t>
  </x:si>
  <x:si>
    <x:t xml:space="preserve">CWF 67876</x:t>
  </x:si>
  <x:si>
    <x:r>
      <x:rPr>
        <x:sz val="1000"/>
        <x:color rgb="FF000000"/>
        <x:rFont val="Verdana"/>
      </x:rPr>
      <x:t xml:space="preserve">525.31</x:t>
    </x:r>
    <x:r>
      <x:rPr>
        <x:sz val="1000"/>
        <x:color rgb="FF000000"/>
        <x:rFont val="宋体-简"/>
      </x:rPr>
      <x:t xml:space="preserve">（</x:t>
    </x:r>
    <x:r>
      <x:rPr>
        <x:sz val="1000"/>
        <x:color rgb="FF000000"/>
        <x:rFont val="Verdana"/>
      </x:rPr>
      <x:t xml:space="preserve">67876</x:t>
    </x:r>
    <x:r>
      <x:rPr>
        <x:sz val="1000"/>
        <x:color rgb="FF000000"/>
        <x:rFont val="宋体-简"/>
      </x:rPr>
      <x:t xml:space="preserve">，</x:t>
    </x:r>
    <x:r>
      <x:rPr>
        <x:sz val="1000"/>
        <x:color rgb="FF000000"/>
        <x:rFont val="Verdana"/>
      </x:rPr>
      <x:t xml:space="preserve">67877</x:t>
    </x:r>
    <x:r>
      <x:rPr>
        <x:sz val="1000"/>
        <x:color rgb="FF000000"/>
        <x:rFont val="宋体-简"/>
      </x:rPr>
      <x:t xml:space="preserve">）</x:t>
    </x:r>
  </x:si>
  <x:si>
    <x:t xml:space="preserve">EJ Cielo LLC</x:t>
  </x:si>
  <x:si>
    <x:t xml:space="preserve">Valencia(Roman)</x:t>
  </x:si>
  <x:si>
    <x:t xml:space="preserve">CWF 67876_Roman_(EJ)_Invoice.html</x:t>
  </x:si>
  <x:si>
    <x:t xml:space="preserve">CWF 67876_Roman_(EJ)_Production_Order.html</x:t>
  </x:si>
  <x:si>
    <x:t xml:space="preserve">Valencia(Drapery)</x:t>
  </x:si>
  <x:si>
    <x:t xml:space="preserve">CWF 67876_Drapery(EJ)_Invoice.html</x:t>
  </x:si>
  <x:si>
    <x:t xml:space="preserve">CWF 67876_Drapery(EJ)_Production_Order.html</x:t>
  </x:si>
  <x:si>
    <x:t xml:space="preserve">CWF67877</x:t>
  </x:si>
  <x:si>
    <x:t xml:space="preserve">Blinds Plus 2</x:t>
  </x:si>
  <x:si>
    <x:t xml:space="preserve">McCabe-LP</x:t>
  </x:si>
  <x:si>
    <x:t xml:space="preserve">CWF67877_McCabe_(Blinds_Plus2)_Invoice.html</x:t>
  </x:si>
  <x:si>
    <x:t xml:space="preserve">CWF67877_McCabe_(Blinds_Plus2)_Production_Order.html</x:t>
  </x:si>
  <x:si>
    <x:t xml:space="preserve">CWF 67904</x:t>
  </x:si>
  <x:si>
    <x:t xml:space="preserve">House of Color</x:t>
  </x:si>
  <x:si>
    <x:t xml:space="preserve">Ryo Eguchi(Roman)</x:t>
  </x:si>
  <x:si>
    <x:t xml:space="preserve">CWF 67904_Ryo_(House_of_color)_Invoice.html</x:t>
  </x:si>
  <x:si>
    <x:t xml:space="preserve">CWF 67904_Ryo_(House_of_color)_Production_Order.html</x:t>
  </x:si>
  <x:si>
    <x:t xml:space="preserve">CWF 67906</x:t>
  </x:si>
  <x:si>
    <x:t xml:space="preserve">Andre</x:t>
  </x:si>
  <x:si>
    <x:t xml:space="preserve">CWF 67906_(The_Shades_Experts)_Invoice.html</x:t>
  </x:si>
  <x:si>
    <x:t xml:space="preserve">CWF 67906_(The_Shades_Experts)_Production_Order.html</x:t>
  </x:si>
  <x:si>
    <x:t xml:space="preserve">CWF 67911</x:t>
  </x:si>
  <x:si>
    <x:t xml:space="preserve">Brooklyn Shades</x:t>
  </x:si>
  <x:si>
    <x:t xml:space="preserve">192 Gardner</x:t>
  </x:si>
  <x:si>
    <x:t xml:space="preserve">CWF 67911_192_Gardner(Brooklyn_Shades)-2_Invoice.html</x:t>
  </x:si>
  <x:si>
    <x:t xml:space="preserve">CWF 67911_192_Gardner(Brooklyn_Shades)-2_Production_Order.html</x:t>
  </x:si>
  <x:si>
    <x:t xml:space="preserve">CWF 67913</x:t>
  </x:si>
  <x:si>
    <x:t xml:space="preserve">Bayside Shades</x:t>
  </x:si>
  <x:si>
    <x:t xml:space="preserve">Anita Phase 2(Drapery)</x:t>
  </x:si>
  <x:si>
    <x:t xml:space="preserve">CWF 67913_Anita_(Bayside)_Invoice.html</x:t>
  </x:si>
  <x:si>
    <x:t xml:space="preserve">CWF 67913_Anita_(Bayside)_Production_Order.html</x:t>
  </x:si>
  <x:si>
    <x:t xml:space="preserve">CWF67940</x:t>
  </x:si>
  <x:si>
    <x:t xml:space="preserve">Fullmer-LP(Roman)</x:t>
  </x:si>
  <x:si>
    <x:t xml:space="preserve">CWF67940_Fullmer_(Blinds_Plus2)_Invoice.html</x:t>
  </x:si>
  <x:si>
    <x:t xml:space="preserve">CWF67940_Fullmer_(Blinds_Plus2)_Production_Order.html</x:t>
  </x:si>
  <x:si>
    <x:t xml:space="preserve">CWF 67989</x:t>
  </x:si>
  <x:si>
    <x:t xml:space="preserve">Runyan</x:t>
  </x:si>
  <x:si>
    <x:t xml:space="preserve">CWF 67989_Rynyan(Blinds_america)_Invoice.html</x:t>
  </x:si>
  <x:si>
    <x:t xml:space="preserve">CWF 67989_Rynyan(Blinds_america)_Production_Order.html</x:t>
  </x:si>
  <x:si>
    <x:t xml:space="preserve">CWF68000</x:t>
  </x:si>
  <x:si>
    <x:t xml:space="preserve">Verticals Plus</x:t>
  </x:si>
  <x:si>
    <x:t xml:space="preserve">Grilli(Roman)</x:t>
  </x:si>
  <x:si>
    <x:t xml:space="preserve">CWF68000_FINAL_Grilli_(Verticals_Plus)_Invoice.html</x:t>
  </x:si>
  <x:si>
    <x:t xml:space="preserve">CWF68000_FINAL_Grilli_(Verticals_Plus)_Production_Order.html</x:t>
  </x:si>
  <x:si>
    <x:t xml:space="preserve">CWF 68007</x:t>
  </x:si>
  <x:si>
    <x:t xml:space="preserve">Maza Décor LLC</x:t>
  </x:si>
  <x:si>
    <x:t xml:space="preserve">#3060(Drapery)</x:t>
  </x:si>
  <x:si>
    <x:t xml:space="preserve">CWF 68007_3060(Maza)_Invoice.html</x:t>
  </x:si>
  <x:si>
    <x:t xml:space="preserve">CWF 68007_3060(Maza)_Production_Order.html</x:t>
  </x:si>
  <x:si>
    <x:t xml:space="preserve">#3066(Roman)</x:t>
  </x:si>
  <x:si>
    <x:t xml:space="preserve">CWF 68007_3066_(Maza_decor)_Invoice.html</x:t>
  </x:si>
  <x:si>
    <x:t xml:space="preserve">CWF 68007_3066_(Maza_decor)_Production_Order.html</x:t>
  </x:si>
  <x:si>
    <x:t xml:space="preserve">CWF 68073</x:t>
  </x:si>
  <x:si>
    <x:t xml:space="preserve">Shade IQ</x:t>
  </x:si>
  <x:si>
    <x:t xml:space="preserve">Munoz</x:t>
  </x:si>
  <x:si>
    <x:t xml:space="preserve">CWF 68073_(Shade_IQ)_Invoice.html</x:t>
  </x:si>
  <x:si>
    <x:t xml:space="preserve">CWF 68073_(Shade_IQ)_Production_Order.html</x:t>
  </x:si>
  <x:si>
    <x:t xml:space="preserve">CWF 68086</x:t>
  </x:si>
  <x:si>
    <x:r>
      <x:rPr>
        <x:b/>
        <x:sz val="1000"/>
        <x:color rgb="FF000000"/>
        <x:rFont val="Arial"/>
      </x:rPr>
      <x:t xml:space="preserve">68086.68073.67599</x:t>
    </x:r>
    <x:r>
      <x:rPr>
        <x:b/>
        <x:sz val="1000"/>
        <x:color rgb="FF000000"/>
        <x:rFont val="宋体-简"/>
      </x:rPr>
      <x:t xml:space="preserve">补</x:t>
    </x:r>
  </x:si>
  <x:si>
    <x:t xml:space="preserve">Advanced Window Treatments</x:t>
  </x:si>
  <x:si>
    <x:t xml:space="preserve">Aplan</x:t>
  </x:si>
  <x:si>
    <x:t xml:space="preserve">CWF 68086_Aplan(Advance)_Invoice.html</x:t>
  </x:si>
  <x:si>
    <x:t xml:space="preserve">CWF 68086_Aplan(Advance)_Production_Order.html</x:t>
  </x:si>
  <x:si>
    <x:t xml:space="preserve">CWF 68122</x:t>
  </x:si>
  <x:si>
    <x:t xml:space="preserve">Superior Blinds and More</x:t>
  </x:si>
  <x:si>
    <x:t xml:space="preserve">Steve(Roman)</x:t>
  </x:si>
  <x:si>
    <x:t xml:space="preserve">CWF 68122_Steve(Roman)(Superior_Blinds)_Invoice.html</x:t>
  </x:si>
  <x:si>
    <x:t xml:space="preserve">CWF 68122_Steve(Roman)(Superior_Blinds)_Production_Order.html</x:t>
  </x:si>
  <x:si>
    <x:t xml:space="preserve">Steve(Drapery)</x:t>
  </x:si>
  <x:si>
    <x:t xml:space="preserve">CWF 68122_Steve(Drapery)(Superior_Blinds)_Invoice.html</x:t>
  </x:si>
  <x:si>
    <x:t xml:space="preserve">CWF 68122_Steve(Drapery)(Superior_Blinds)_Production_Order.html</x:t>
  </x:si>
  <x:si>
    <x:t xml:space="preserve">CWF 68123</x:t>
  </x:si>
  <x:si>
    <x:t xml:space="preserve">Emily 0553</x:t>
  </x:si>
  <x:si>
    <x:t xml:space="preserve">CWF 68123_Emily(Brooklyn_Shades)_Invoice.html</x:t>
  </x:si>
  <x:si>
    <x:t xml:space="preserve">CWF 68123_Emily(Brooklyn_Shades)_Production_Order.html</x:t>
  </x:si>
  <x:si>
    <x:t xml:space="preserve">CWF 68128</x:t>
  </x:si>
  <x:si>
    <x:t xml:space="preserve">Beth</x:t>
  </x:si>
  <x:si>
    <x:t xml:space="preserve">CWF 68128_Beth(Rodeo_Blinds)_Invoice.html</x:t>
  </x:si>
  <x:si>
    <x:t xml:space="preserve">CWF 68128_Beth(Rodeo_Blinds)_Production_Order.html</x:t>
  </x:si>
  <x:si>
    <x:t xml:space="preserve">CWF 68129</x:t>
  </x:si>
  <x:si>
    <x:t xml:space="preserve">Jamie(Drapery)</x:t>
  </x:si>
  <x:si>
    <x:t xml:space="preserve">CWF 68129_Jamie_Drapery(Rodeo_Blinds)_Invoice.html</x:t>
  </x:si>
  <x:si>
    <x:t xml:space="preserve">CWF 68129_Jamie_Drapery(Rodeo_Blinds)_Production_Order.html</x:t>
  </x:si>
  <x:si>
    <x:t xml:space="preserve">CWF 68135</x:t>
  </x:si>
  <x:si>
    <x:t xml:space="preserve">68135.68231.68122.68281.68283.68255</x:t>
  </x:si>
  <x:si>
    <x:t xml:space="preserve">#3106(Roman)</x:t>
  </x:si>
  <x:si>
    <x:t xml:space="preserve">CWF 68135_3106(Maza_decor)_Invoice.html</x:t>
  </x:si>
  <x:si>
    <x:t xml:space="preserve">CWF 68135_3106(Maza_decor)_Production_Order.html</x:t>
  </x:si>
  <x:si>
    <x:t xml:space="preserve">CWF 68177</x:t>
  </x:si>
  <x:si>
    <x:t xml:space="preserve">Dana(Roman)</x:t>
  </x:si>
  <x:si>
    <x:t xml:space="preserve">CWF 68177_Dana(Rodeo_blinds)_Invoice.html</x:t>
  </x:si>
  <x:si>
    <x:t xml:space="preserve">CWF 68177_Dana(Rodeo_blinds)_Production_Order.html</x:t>
  </x:si>
  <x:si>
    <x:t xml:space="preserve">CWF 68181</x:t>
  </x:si>
  <x:si>
    <x:t xml:space="preserve">Marsch</x:t>
  </x:si>
  <x:si>
    <x:t xml:space="preserve">CWF 68181_(Shade_IQ)_Invoice.html</x:t>
  </x:si>
  <x:si>
    <x:t xml:space="preserve">CWF 68181_(Shade_IQ)_Production_Order.html</x:t>
  </x:si>
  <x:si>
    <x:t xml:space="preserve">CWF 68182</x:t>
  </x:si>
  <x:si>
    <x:t xml:space="preserve">68182.68128.68186.68181.68190.68177</x:t>
  </x:si>
  <x:si>
    <x:t xml:space="preserve">Robertson</x:t>
  </x:si>
  <x:si>
    <x:t xml:space="preserve">CWF 68182_(Shade_IQ)_Invoice.html</x:t>
  </x:si>
  <x:si>
    <x:t xml:space="preserve">CWF 68182_(Shade_IQ)_Production_Order.html</x:t>
  </x:si>
  <x:si>
    <x:t xml:space="preserve">CWF68186</x:t>
  </x:si>
  <x:si>
    <x:t xml:space="preserve">MILES 2</x:t>
  </x:si>
  <x:si>
    <x:t xml:space="preserve">CWF68186_MILES_2(Cornerstone)_Invoice.html</x:t>
  </x:si>
  <x:si>
    <x:t xml:space="preserve">CWF68186_MILES_2(Cornerstone)_Production_Order.html</x:t>
  </x:si>
  <x:si>
    <x:t xml:space="preserve">CWF 68190</x:t>
  </x:si>
  <x:si>
    <x:t xml:space="preserve">O'Connor PO#30535</x:t>
  </x:si>
  <x:si>
    <x:t xml:space="preserve">CWF 68190_OConnor_(New_horizon)_Invoice.html</x:t>
  </x:si>
  <x:si>
    <x:t xml:space="preserve">CWF 68190_OConnor_(New_horizon)_Production_Order.html</x:t>
  </x:si>
  <x:si>
    <x:t xml:space="preserve">CWF 68192</x:t>
  </x:si>
  <x:si>
    <x:t xml:space="preserve">#3120(Roman)</x:t>
  </x:si>
  <x:si>
    <x:t xml:space="preserve">CWF 68192_68192_Invoice.html</x:t>
  </x:si>
  <x:si>
    <x:t xml:space="preserve">CWF 68192_68192_Production_Order.html</x:t>
  </x:si>
  <x:si>
    <x:t xml:space="preserve">CWF 68193</x:t>
  </x:si>
  <x:si>
    <x:t xml:space="preserve">CWF 68231</x:t>
  </x:si>
  <x:si>
    <x:t xml:space="preserve">The Blind Spot Inc.</x:t>
  </x:si>
  <x:si>
    <x:t xml:space="preserve">McDermott</x:t>
  </x:si>
  <x:si>
    <x:t xml:space="preserve">CWF 68231_(Blind_Spot)_Invoice.html</x:t>
  </x:si>
  <x:si>
    <x:t xml:space="preserve">CWF 68231_(Blind_Spot)_Production_Order.html</x:t>
  </x:si>
  <x:si>
    <x:t xml:space="preserve">CWF 68232</x:t>
  </x:si>
  <x:si>
    <x:t xml:space="preserve">Kara Window Coverings Inc.</x:t>
  </x:si>
  <x:si>
    <x:t xml:space="preserve">Alma(Roman) PO#17245</x:t>
  </x:si>
  <x:si>
    <x:t xml:space="preserve">CWF 68232_Alma_Roman(Kara_window)_Invoice.html</x:t>
  </x:si>
  <x:si>
    <x:t xml:space="preserve">CWF 68232_Alma_Roman(Kara_window)_Production_Order.html</x:t>
  </x:si>
  <x:si>
    <x:t xml:space="preserve">Alma(Drapery) PO#17245</x:t>
  </x:si>
  <x:si>
    <x:t xml:space="preserve">需要杆100顶装</x:t>
  </x:si>
  <x:si>
    <x:t xml:space="preserve">CWF 68232_Alma_Drapery(Kara_window)_Invoice.html</x:t>
  </x:si>
  <x:si>
    <x:t xml:space="preserve">CWF 68232_Alma_Drapery(Kara_window)_Production_Order.html</x:t>
  </x:si>
  <x:si>
    <x:t xml:space="preserve">CWF68255</x:t>
  </x:si>
  <x:si>
    <x:t xml:space="preserve">Griffith(Roman)</x:t>
  </x:si>
  <x:si>
    <x:t xml:space="preserve">CWF68255_Griffith(Roman)(Shade_IQ)_Invoice.html</x:t>
  </x:si>
  <x:si>
    <x:t xml:space="preserve">CWF68255_Griffith(Roman)(Shade_IQ)_Production_Order.html</x:t>
  </x:si>
  <x:si>
    <x:t xml:space="preserve">CWF 68256</x:t>
  </x:si>
  <x:si>
    <x:t xml:space="preserve">68256.68370.68311</x:t>
  </x:si>
  <x:si>
    <x:t xml:space="preserve">Griffith-Casa(Drapery)</x:t>
  </x:si>
  <x:si>
    <x:t xml:space="preserve">CWF 68256_Griffith(Drapery)_(Shade_IQ)_Invoice.html</x:t>
  </x:si>
  <x:si>
    <x:t xml:space="preserve">CWF 68256_Griffith(Drapery)_(Shade_IQ)_Production_Order.html</x:t>
  </x:si>
  <x:si>
    <x:t xml:space="preserve">CWF 68267</x:t>
  </x:si>
  <x:si>
    <x:t xml:space="preserve">Lockwood</x:t>
  </x:si>
  <x:si>
    <x:t xml:space="preserve">CWF 68267_Lockwood(Blinds_america)_Invoice.html</x:t>
  </x:si>
  <x:si>
    <x:t xml:space="preserve">CWF 68267_Lockwood(Blinds_america)_Production_Order.html</x:t>
  </x:si>
  <x:si>
    <x:t xml:space="preserve">CWF 68272</x:t>
  </x:si>
  <x:si>
    <x:t xml:space="preserve">68193.68272.68232.68233</x:t>
  </x:si>
  <x:si>
    <x:t xml:space="preserve">The Modern Blinds, Inc</x:t>
  </x:si>
  <x:si>
    <x:t xml:space="preserve">Sample</x:t>
  </x:si>
  <x:si>
    <x:t xml:space="preserve">CWF 68272_Sample_(Modern_Blinds)_Invoice.html</x:t>
  </x:si>
  <x:si>
    <x:t xml:space="preserve">CWF 68272_Sample_(Modern_Blinds)_Production_Order.html</x:t>
  </x:si>
  <x:si>
    <x:t xml:space="preserve">CWF 68280</x:t>
  </x:si>
  <x:si>
    <x:t xml:space="preserve">Brian(Drapery)NPB 060926</x:t>
  </x:si>
  <x:si>
    <x:t xml:space="preserve">有轨道款需要单独提出</x:t>
  </x:si>
  <x:si>
    <x:t xml:space="preserve">CWF 68280_Brian_Drapery(BlindsStyle)_Invoice.html</x:t>
  </x:si>
  <x:si>
    <x:t xml:space="preserve">CWF 68280_Brian_Drapery(BlindsStyle)_Production_Order.html</x:t>
  </x:si>
  <x:si>
    <x:t xml:space="preserve">CWF68283</x:t>
  </x:si>
  <x:si>
    <x:t xml:space="preserve">BRIGGS</x:t>
  </x:si>
  <x:si>
    <x:t xml:space="preserve">CWF68283_Briggs(Cornerstone)_Invoice.html</x:t>
  </x:si>
  <x:si>
    <x:t xml:space="preserve">CWF68283_Briggs(Cornerstone)_Production_Order.html</x:t>
  </x:si>
  <x:si>
    <x:t xml:space="preserve">CWF 68286</x:t>
  </x:si>
  <x:si>
    <x:t xml:space="preserve">Sweet Home System</x:t>
  </x:si>
  <x:si>
    <x:t xml:space="preserve">1 Sheer</x:t>
  </x:si>
  <x:si>
    <x:t xml:space="preserve">CWF 68286_1_Sheer(Sweet_Home)_Invoice.html</x:t>
  </x:si>
  <x:si>
    <x:t xml:space="preserve">CWF 68286_1_Sheer(Sweet_Home)_Production_Order.html</x:t>
  </x:si>
  <x:si>
    <x:t xml:space="preserve">CWF68311</x:t>
  </x:si>
  <x:si>
    <x:t xml:space="preserve">German-LP</x:t>
  </x:si>
  <x:si>
    <x:t xml:space="preserve">CWF68311_German_(Blinds_Plus2)_Invoice.html</x:t>
  </x:si>
  <x:si>
    <x:t xml:space="preserve">CWF68311_German_(Blinds_Plus2)_Production_Order.html</x:t>
  </x:si>
  <x:si>
    <x:t xml:space="preserve">CWF68348</x:t>
  </x:si>
  <x:si>
    <x:t xml:space="preserve">布是蛇形，纱韩式</x:t>
  </x:si>
  <x:si>
    <x:t xml:space="preserve">CWF68370</x:t>
  </x:si>
  <x:si>
    <x:t xml:space="preserve">CWF 68179</x:t>
  </x:si>
  <x:si>
    <x:t xml:space="preserve">未选择布料</x:t>
  </x:si>
  <x:si>
    <x:t xml:space="preserve">Bayside Shades and Shutters</x:t>
  </x:si>
  <x:si>
    <x:t xml:space="preserve">Kevin</x:t>
  </x:si>
  <x:si>
    <x:t xml:space="preserve">📄 PDF补遗</x:t>
  </x:si>
  <x:si>
    <x:t xml:space="preserve">CWF68179PI.pdf</x:t>
  </x:si>
  <x:si>
    <x:t xml:space="preserve">无 (仅有原始账单)</x:t>
  </x:si>
  <x:si>
    <x:t xml:space="preserve">CWF68361</x:t>
  </x:si>
  <x:si>
    <x:t xml:space="preserve">CWF68397</x:t>
  </x:si>
  <x:si>
    <x:t xml:space="preserve">CWF68415</x:t>
  </x:si>
  <x:si>
    <x:t xml:space="preserve">68415.68412.68397</x:t>
  </x:si>
  <x:si>
    <x:t xml:space="preserve">CWF68412</x:t>
  </x:si>
  <x:si>
    <x:t xml:space="preserve">CWF 68212</x:t>
  </x:si>
  <x:si>
    <x:t xml:space="preserve">Commerce Window Fashions Departure Time 2026/6/8</x:t>
  </x:si>
  <x:si>
    <x:t xml:space="preserve">271</x:t>
  </x:si>
  <x:si>
    <x:t xml:space="preserve">CWF68212PI.pdf</x:t>
  </x:si>
  <x:si>
    <x:t xml:space="preserve">CWF 68446</x:t>
  </x:si>
  <x:si>
    <x:t xml:space="preserve">CWF 68449</x:t>
  </x:si>
  <x:si>
    <x:t xml:space="preserve">CWF 68348-2</x:t>
  </x:si>
  <x:si>
    <x:t xml:space="preserve">CWF 68450</x:t>
  </x:si>
  <x:si>
    <x:t xml:space="preserve">CWF 68472</x:t>
  </x:si>
  <x:si>
    <x:t xml:space="preserve">CWF 68473</x:t>
  </x:si>
  <x:si>
    <x:t xml:space="preserve">CWF 68480</x:t>
  </x:si>
  <x:si>
    <x:t xml:space="preserve">CWF 68436</x:t>
  </x:si>
  <x:si>
    <x:t xml:space="preserve">CWF 68461</x:t>
  </x:si>
  <x:si>
    <x:t xml:space="preserve">CWF 68545</x:t>
  </x:si>
  <x:si>
    <x:t xml:space="preserve">CWF 68457</x:t>
  </x:si>
  <x:si>
    <x:t xml:space="preserve">CWF 68561</x:t>
  </x:si>
  <x:si>
    <x:t xml:space="preserve">CWF 68568</x:t>
  </x:si>
  <x:si>
    <x:t xml:space="preserve">CWF 68574</x:t>
  </x:si>
  <x:si>
    <x:t xml:space="preserve">CWF 68589</x:t>
  </x:si>
  <x:si>
    <x:t xml:space="preserve">总计 (Totals)</x:t>
  </x:si>
</x:sst>
</file>

<file path=xl/styles.xml><?xml version="1.0" encoding="utf-8"?>
<x:styleSheet xmlns:x="http://schemas.openxmlformats.org/spreadsheetml/2006/main">
  <x:numFmts count="5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&quot;$&quot;#,##0.00"/>
  </x:numFmts>
  <x:fonts count="42">
    <x:font>
      <x:sz val="10"/>
      <x:name val="Verdana"/>
    </x:font>
    <x:font>
      <x:b/>
      <x:sz val="16"/>
      <x:color rgb="FFFFFFFF"/>
      <x:name val="Georgia"/>
    </x:font>
    <x:font>
      <x:i/>
      <x:sz val="10"/>
      <x:color rgb="FF2F2E2C"/>
      <x:name val="Arial"/>
    </x:font>
    <x:font>
      <x:b/>
      <x:sz val="10"/>
      <x:color rgb="FFFFFFFF"/>
      <x:name val="Arial"/>
    </x:font>
    <x:font>
      <x:b/>
      <x:sz val="10"/>
      <x:color rgb="FFFFFFFF"/>
      <x:name val="宋体-简"/>
    </x:font>
    <x:font>
      <x:b/>
      <x:sz val="10"/>
      <x:name val="Arial"/>
    </x:font>
    <x:font>
      <x:sz val="10"/>
      <x:name val="Arial"/>
    </x:font>
    <x:font>
      <x:b/>
      <x:sz val="10"/>
      <x:color rgb="FFB55A30"/>
      <x:name val="Arial"/>
    </x:font>
    <x:font>
      <x:b/>
      <x:sz val="9"/>
      <x:color rgb="FF2E7D32"/>
      <x:name val="Arial"/>
    </x:font>
    <x:font>
      <x:sz val="9"/>
      <x:color rgb="FF5F6F52"/>
      <x:name val="Arial"/>
    </x:font>
    <x:font>
      <x:b/>
      <x:sz val="9"/>
      <x:color rgb="FF777777"/>
      <x:name val="Arial"/>
    </x:font>
    <x:font>
      <x:sz val="10"/>
      <x:color rgb="FF000000"/>
      <x:name val="Verdana"/>
    </x:font>
    <x:font>
      <x:b/>
      <x:sz val="10"/>
      <x:color rgb="FFB55A30"/>
      <x:name val="宋体-简"/>
    </x:font>
    <x:font>
      <x:b/>
      <x:sz val="9"/>
      <x:color rgb="FF777777"/>
      <x:name val="宋体-简"/>
    </x:font>
    <x:font>
      <x:b/>
      <x:sz val="9"/>
      <x:color rgb="FF1565C0"/>
      <x:name val="Arial"/>
    </x:font>
    <x:font>
      <x:b/>
      <x:sz val="10"/>
      <x:name val="宋体-简"/>
    </x:font>
    <x:font>
      <x:b/>
      <x:sz val="11"/>
      <x:name val="Arial"/>
    </x:font>
    <x:font>
      <x:sz val="11"/>
      <x:name val="Arial"/>
    </x:font>
    <x:font>
      <x:b/>
      <x:sz val="11"/>
      <x:color rgb="FFB55A30"/>
      <x:name val="Arial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宋体-简"/>
    </x:font>
    <x:font>
      <x:b/>
      <x:sz val="10"/>
      <x:color rgb="FFFFFFFF"/>
      <x:name val="Verdana"/>
    </x:font>
    <x:font>
      <x:b/>
      <x:sz val="10"/>
      <x:color rgb="FF008000"/>
      <x:name val="Verdana"/>
    </x:font>
  </x:fonts>
  <x:fills count="48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B55A30"/>
      </x:patternFill>
    </x:fill>
    <x:fill>
      <x:patternFill patternType="solid">
        <x:fgColor rgb="FFFDFBF7"/>
      </x:patternFill>
    </x:fill>
    <x:fill>
      <x:patternFill patternType="solid">
        <x:fgColor rgb="FF5F6F52"/>
      </x:patternFill>
    </x:fill>
    <x:fill>
      <x:patternFill patternType="solid">
        <x:fgColor theme="4"/>
      </x:patternFill>
    </x:fill>
    <x:fill>
      <x:patternFill patternType="solid">
        <x:fgColor theme="5" tint="0.8"/>
      </x:patternFill>
    </x:fill>
    <x:fill>
      <x:patternFill patternType="solid">
        <x:fgColor theme="3" tint="0.8"/>
      </x:patternFill>
    </x:fill>
    <x:fill>
      <x:patternFill patternType="solid">
        <x:fgColor rgb="FFFFFFFF"/>
      </x:patternFill>
    </x:fill>
    <x:fill>
      <x:patternFill patternType="solid">
        <x:fgColor theme="2" tint="-0.1"/>
      </x:patternFill>
    </x:fill>
    <x:fill>
      <x:patternFill patternType="solid">
        <x:fgColor rgb="FF00B0F0"/>
      </x:patternFill>
    </x:fill>
    <x:fill>
      <x:patternFill patternType="solid">
        <x:fgColor theme="3" tint="0.4"/>
      </x:patternFill>
    </x:fill>
    <x:fill>
      <x:patternFill patternType="solid">
        <x:fgColor theme="6"/>
      </x:patternFill>
    </x:fill>
    <x:fill>
      <x:patternFill patternType="solid">
        <x:fgColor rgb="FFFFFF00"/>
      </x:patternFill>
    </x:fill>
    <x:fill>
      <x:patternFill patternType="solid">
        <x:fgColor theme="9"/>
      </x:patternFill>
    </x:fill>
    <x:fill>
      <x:patternFill patternType="solid">
        <x:fgColor rgb="FFF5F7FA"/>
      </x:patternFill>
    </x:fill>
    <x:fill>
      <x:patternFill patternType="solid">
        <x:fgColor rgb="FFF4F1E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0B0F0"/>
      </x:patternFill>
    </x:fill>
    <x:fill>
      <x:patternFill patternType="solid">
        <x:fgColor rgb="FF4F81BD"/>
      </x:patternFill>
    </x:fill>
  </x:fills>
  <x:borders count="13">
    <x:border/>
    <x:border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double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19" fillId="0" borderId="0" applyFont="0" applyFill="0" applyBorder="0" applyAlignment="0" applyProtection="0">
      <x:alignment vertical="center"/>
    </x:xf>
    <x:xf numFmtId="44" fontId="19" fillId="0" borderId="0" applyFont="0" applyFill="0" applyBorder="0" applyAlignment="0" applyProtection="0">
      <x:alignment vertical="center"/>
    </x:xf>
    <x:xf numFmtId="9" fontId="19" fillId="0" borderId="0" applyFont="0" applyFill="0" applyBorder="0" applyAlignment="0" applyProtection="0">
      <x:alignment vertical="center"/>
    </x:xf>
    <x:xf numFmtId="177" fontId="19" fillId="0" borderId="0" applyFont="0" applyFill="0" applyBorder="0" applyAlignment="0" applyProtection="0">
      <x:alignment vertical="center"/>
    </x:xf>
    <x:xf numFmtId="42" fontId="19" fillId="0" borderId="0" applyFon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19" fillId="18" borderId="5" applyNumberFormat="0" applyFont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0" borderId="0" applyNumberFormat="0" applyFill="0" applyBorder="0" applyAlignment="0" applyProtection="0">
      <x:alignment vertical="center"/>
    </x:xf>
    <x:xf numFmtId="0" fontId="25" fillId="0" borderId="6" applyNumberFormat="0" applyFill="0" applyAlignment="0" applyProtection="0">
      <x:alignment vertical="center"/>
    </x:xf>
    <x:xf numFmtId="0" fontId="26" fillId="0" borderId="6" applyNumberFormat="0" applyFill="0" applyAlignment="0" applyProtection="0">
      <x:alignment vertical="center"/>
    </x:xf>
    <x:xf numFmtId="0" fontId="27" fillId="0" borderId="7" applyNumberFormat="0" applyFill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8" fillId="19" borderId="8" applyNumberFormat="0" applyAlignment="0" applyProtection="0">
      <x:alignment vertical="center"/>
    </x:xf>
    <x:xf numFmtId="0" fontId="29" fillId="20" borderId="9" applyNumberFormat="0" applyAlignment="0" applyProtection="0">
      <x:alignment vertical="center"/>
    </x:xf>
    <x:xf numFmtId="0" fontId="30" fillId="20" borderId="8" applyNumberFormat="0" applyAlignment="0" applyProtection="0">
      <x:alignment vertical="center"/>
    </x:xf>
    <x:xf numFmtId="0" fontId="31" fillId="21" borderId="10" applyNumberFormat="0" applyAlignment="0" applyProtection="0">
      <x:alignment vertical="center"/>
    </x:xf>
    <x:xf numFmtId="0" fontId="32" fillId="0" borderId="11" applyNumberFormat="0" applyFill="0" applyAlignment="0" applyProtection="0">
      <x:alignment vertical="center"/>
    </x:xf>
    <x:xf numFmtId="0" fontId="33" fillId="0" borderId="12" applyNumberFormat="0" applyFill="0" applyAlignment="0" applyProtection="0">
      <x:alignment vertical="center"/>
    </x:xf>
    <x:xf numFmtId="0" fontId="34" fillId="22" borderId="0" applyNumberFormat="0" applyBorder="0" applyAlignment="0" applyProtection="0">
      <x:alignment vertical="center"/>
    </x:xf>
    <x:xf numFmtId="0" fontId="35" fillId="23" borderId="0" applyNumberFormat="0" applyBorder="0" applyAlignment="0" applyProtection="0">
      <x:alignment vertical="center"/>
    </x:xf>
    <x:xf numFmtId="0" fontId="36" fillId="24" borderId="0" applyNumberFormat="0" applyBorder="0" applyAlignment="0" applyProtection="0">
      <x:alignment vertical="center"/>
    </x:xf>
    <x:xf numFmtId="0" fontId="37" fillId="6" borderId="0" applyNumberFormat="0" applyBorder="0" applyAlignment="0" applyProtection="0">
      <x:alignment vertical="center"/>
    </x:xf>
    <x:xf numFmtId="0" fontId="38" fillId="25" borderId="0" applyNumberFormat="0" applyBorder="0" applyAlignment="0" applyProtection="0">
      <x:alignment vertical="center"/>
    </x:xf>
    <x:xf numFmtId="0" fontId="38" fillId="26" borderId="0" applyNumberFormat="0" applyBorder="0" applyAlignment="0" applyProtection="0">
      <x:alignment vertical="center"/>
    </x:xf>
    <x:xf numFmtId="0" fontId="37" fillId="27" borderId="0" applyNumberFormat="0" applyBorder="0" applyAlignment="0" applyProtection="0">
      <x:alignment vertical="center"/>
    </x:xf>
    <x:xf numFmtId="0" fontId="37" fillId="28" borderId="0" applyNumberFormat="0" applyBorder="0" applyAlignment="0" applyProtection="0">
      <x:alignment vertical="center"/>
    </x:xf>
    <x:xf numFmtId="0" fontId="38" fillId="29" borderId="0" applyNumberFormat="0" applyBorder="0" applyAlignment="0" applyProtection="0">
      <x:alignment vertical="center"/>
    </x:xf>
    <x:xf numFmtId="0" fontId="38" fillId="30" borderId="0" applyNumberFormat="0" applyBorder="0" applyAlignment="0" applyProtection="0">
      <x:alignment vertical="center"/>
    </x:xf>
    <x:xf numFmtId="0" fontId="37" fillId="31" borderId="0" applyNumberFormat="0" applyBorder="0" applyAlignment="0" applyProtection="0">
      <x:alignment vertical="center"/>
    </x:xf>
    <x:xf numFmtId="0" fontId="37" fillId="13" borderId="0" applyNumberFormat="0" applyBorder="0" applyAlignment="0" applyProtection="0">
      <x:alignment vertical="center"/>
    </x:xf>
    <x:xf numFmtId="0" fontId="38" fillId="32" borderId="0" applyNumberFormat="0" applyBorder="0" applyAlignment="0" applyProtection="0">
      <x:alignment vertical="center"/>
    </x:xf>
    <x:xf numFmtId="0" fontId="38" fillId="33" borderId="0" applyNumberFormat="0" applyBorder="0" applyAlignment="0" applyProtection="0">
      <x:alignment vertical="center"/>
    </x:xf>
    <x:xf numFmtId="0" fontId="37" fillId="34" borderId="0" applyNumberFormat="0" applyBorder="0" applyAlignment="0" applyProtection="0">
      <x:alignment vertical="center"/>
    </x:xf>
    <x:xf numFmtId="0" fontId="37" fillId="35" borderId="0" applyNumberFormat="0" applyBorder="0" applyAlignment="0" applyProtection="0">
      <x:alignment vertical="center"/>
    </x:xf>
    <x:xf numFmtId="0" fontId="38" fillId="36" borderId="0" applyNumberFormat="0" applyBorder="0" applyAlignment="0" applyProtection="0">
      <x:alignment vertical="center"/>
    </x:xf>
    <x:xf numFmtId="0" fontId="38" fillId="37" borderId="0" applyNumberFormat="0" applyBorder="0" applyAlignment="0" applyProtection="0">
      <x:alignment vertical="center"/>
    </x:xf>
    <x:xf numFmtId="0" fontId="37" fillId="38" borderId="0" applyNumberFormat="0" applyBorder="0" applyAlignment="0" applyProtection="0">
      <x:alignment vertical="center"/>
    </x:xf>
    <x:xf numFmtId="0" fontId="37" fillId="39" borderId="0" applyNumberFormat="0" applyBorder="0" applyAlignment="0" applyProtection="0">
      <x:alignment vertical="center"/>
    </x:xf>
    <x:xf numFmtId="0" fontId="38" fillId="40" borderId="0" applyNumberFormat="0" applyBorder="0" applyAlignment="0" applyProtection="0">
      <x:alignment vertical="center"/>
    </x:xf>
    <x:xf numFmtId="0" fontId="38" fillId="41" borderId="0" applyNumberFormat="0" applyBorder="0" applyAlignment="0" applyProtection="0">
      <x:alignment vertical="center"/>
    </x:xf>
    <x:xf numFmtId="0" fontId="37" fillId="42" borderId="0" applyNumberFormat="0" applyBorder="0" applyAlignment="0" applyProtection="0">
      <x:alignment vertical="center"/>
    </x:xf>
    <x:xf numFmtId="0" fontId="37" fillId="15" borderId="0" applyNumberFormat="0" applyBorder="0" applyAlignment="0" applyProtection="0">
      <x:alignment vertical="center"/>
    </x:xf>
    <x:xf numFmtId="0" fontId="38" fillId="43" borderId="0" applyNumberFormat="0" applyBorder="0" applyAlignment="0" applyProtection="0">
      <x:alignment vertical="center"/>
    </x:xf>
    <x:xf numFmtId="0" fontId="38" fillId="44" borderId="0" applyNumberFormat="0" applyBorder="0" applyAlignment="0" applyProtection="0">
      <x:alignment vertical="center"/>
    </x:xf>
    <x:xf numFmtId="0" fontId="37" fillId="45" borderId="0" applyNumberFormat="0" applyBorder="0" applyAlignment="0" applyProtection="0">
      <x:alignment vertical="center"/>
    </x:xf>
  </x:cellStyleXfs>
  <x:cellXfs count="61">
    <x:xf numFmtId="0" fontId="0" fillId="0" borderId="0" xfId="0"/>
    <x:xf numFmtId="0" fontId="0" fillId="2" borderId="0" xfId="0" applyFill="1"/>
    <x:xf numFmtId="0" fontId="1" fillId="3" borderId="0" xfId="0" applyFont="1" applyFill="1" applyAlignment="1">
      <x:alignment horizontal="center"/>
    </x:xf>
    <x:xf numFmtId="0" fontId="2" fillId="4" borderId="0" xfId="0" applyFont="1" applyFill="1" applyAlignment="1">
      <x:alignment horizontal="center"/>
    </x:xf>
    <x:xf numFmtId="0" fontId="3" fillId="5" borderId="1" xfId="0" applyFont="1" applyFill="1" applyBorder="1" applyAlignment="1">
      <x:alignment horizontal="center"/>
    </x:xf>
    <x:xf numFmtId="0" fontId="4" fillId="5" borderId="1" xfId="0" applyFont="1" applyFill="1" applyBorder="1" applyAlignment="1">
      <x:alignment horizontal="center"/>
    </x:xf>
    <x:xf numFmtId="0" fontId="0" fillId="6" borderId="0" xfId="0" applyFill="1"/>
    <x:xf numFmtId="0" fontId="5" fillId="4" borderId="2" xfId="0" applyFont="1" applyFill="1" applyBorder="1" applyAlignment="1">
      <x:alignment horizontal="left"/>
    </x:xf>
    <x:xf numFmtId="0" fontId="5" fillId="7" borderId="2" xfId="0" applyFont="1" applyFill="1" applyBorder="1" applyAlignment="1">
      <x:alignment horizontal="left"/>
    </x:xf>
    <x:xf numFmtId="0" fontId="6" fillId="4" borderId="2" xfId="0" applyFont="1" applyFill="1" applyBorder="1" applyAlignment="1">
      <x:alignment horizontal="left"/>
    </x:xf>
    <x:xf numFmtId="0" fontId="6" fillId="4" borderId="2" xfId="0" applyFont="1" applyFill="1" applyBorder="1" applyAlignment="1">
      <x:alignment horizontal="center"/>
    </x:xf>
    <x:xf numFmtId="178" fontId="7" fillId="4" borderId="2" xfId="0" applyNumberFormat="1" applyFont="1" applyFill="1" applyBorder="1" applyAlignment="1">
      <x:alignment horizontal="right"/>
    </x:xf>
    <x:xf numFmtId="0" fontId="8" fillId="4" borderId="2" xfId="0" applyFont="1" applyFill="1" applyBorder="1" applyAlignment="1">
      <x:alignment horizontal="center"/>
    </x:xf>
    <x:xf numFmtId="0" fontId="9" fillId="4" borderId="2" xfId="0" applyFont="1" applyFill="1" applyBorder="1" applyAlignment="1">
      <x:alignment horizontal="left"/>
    </x:xf>
    <x:xf numFmtId="0" fontId="5" fillId="8" borderId="2" xfId="0" applyFont="1" applyFill="1" applyBorder="1" applyAlignment="1">
      <x:alignment horizontal="left"/>
    </x:xf>
    <x:xf numFmtId="0" fontId="5" fillId="9" borderId="2" xfId="0" applyFont="1" applyFill="1" applyBorder="1" applyAlignment="1">
      <x:alignment horizontal="left"/>
    </x:xf>
    <x:xf numFmtId="0" fontId="6" fillId="9" borderId="2" xfId="0" applyFont="1" applyFill="1" applyBorder="1" applyAlignment="1">
      <x:alignment horizontal="left"/>
    </x:xf>
    <x:xf numFmtId="0" fontId="6" fillId="9" borderId="2" xfId="0" applyFont="1" applyFill="1" applyBorder="1" applyAlignment="1">
      <x:alignment horizontal="center"/>
    </x:xf>
    <x:xf numFmtId="178" fontId="7" fillId="9" borderId="2" xfId="0" applyNumberFormat="1" applyFont="1" applyFill="1" applyBorder="1" applyAlignment="1">
      <x:alignment horizontal="right"/>
    </x:xf>
    <x:xf numFmtId="0" fontId="10" fillId="9" borderId="2" xfId="0" applyFont="1" applyFill="1" applyBorder="1" applyAlignment="1">
      <x:alignment horizontal="center"/>
    </x:xf>
    <x:xf numFmtId="0" fontId="9" fillId="9" borderId="2" xfId="0" applyFont="1" applyFill="1" applyBorder="1" applyAlignment="1">
      <x:alignment horizontal="left"/>
    </x:xf>
    <x:xf numFmtId="178" fontId="7" fillId="10" borderId="2" xfId="0" applyNumberFormat="1" applyFont="1" applyFill="1" applyBorder="1" applyAlignment="1">
      <x:alignment horizontal="right"/>
    </x:xf>
    <x:xf numFmtId="178" fontId="7" fillId="2" borderId="2" xfId="0" applyNumberFormat="1" applyFont="1" applyFill="1" applyBorder="1" applyAlignment="1">
      <x:alignment horizontal="right"/>
    </x:xf>
    <x:xf numFmtId="3" fontId="5" fillId="9" borderId="2" xfId="0" applyNumberFormat="1" applyFont="1" applyFill="1" applyBorder="1" applyAlignment="1">
      <x:alignment horizontal="left"/>
    </x:xf>
    <x:xf numFmtId="0" fontId="11" fillId="0" borderId="3" xfId="0" applyFont="1" applyBorder="1"/>
    <x:xf numFmtId="0" fontId="5" fillId="9" borderId="3" xfId="0" applyFont="1" applyFill="1" applyBorder="1" applyAlignment="1">
      <x:alignment horizontal="left"/>
    </x:xf>
    <x:xf numFmtId="0" fontId="5" fillId="2" borderId="2" xfId="0" applyFont="1" applyFill="1" applyBorder="1" applyAlignment="1">
      <x:alignment horizontal="left"/>
    </x:xf>
    <x:xf numFmtId="0" fontId="6" fillId="2" borderId="2" xfId="0" applyFont="1" applyFill="1" applyBorder="1" applyAlignment="1">
      <x:alignment horizontal="left"/>
    </x:xf>
    <x:xf numFmtId="0" fontId="6" fillId="2" borderId="2" xfId="0" applyFont="1" applyFill="1" applyBorder="1" applyAlignment="1">
      <x:alignment horizontal="center"/>
    </x:xf>
    <x:xf numFmtId="0" fontId="10" fillId="2" borderId="2" xfId="0" applyFont="1" applyFill="1" applyBorder="1" applyAlignment="1">
      <x:alignment horizontal="center"/>
    </x:xf>
    <x:xf numFmtId="0" fontId="9" fillId="2" borderId="2" xfId="0" applyFont="1" applyFill="1" applyBorder="1" applyAlignment="1">
      <x:alignment horizontal="left"/>
    </x:xf>
    <x:xf numFmtId="0" fontId="5" fillId="10" borderId="2" xfId="0" applyFont="1" applyFill="1" applyBorder="1" applyAlignment="1">
      <x:alignment horizontal="left"/>
    </x:xf>
    <x:xf numFmtId="0" fontId="0" fillId="11" borderId="0" xfId="0" applyFill="1"/>
    <x:xf numFmtId="0" fontId="0" fillId="12" borderId="0" xfId="0" applyFill="1"/>
    <x:xf numFmtId="0" fontId="5" fillId="13" borderId="2" xfId="0" applyFont="1" applyFill="1" applyBorder="1" applyAlignment="1">
      <x:alignment horizontal="left"/>
    </x:xf>
    <x:xf numFmtId="0" fontId="6" fillId="13" borderId="2" xfId="0" applyFont="1" applyFill="1" applyBorder="1" applyAlignment="1">
      <x:alignment horizontal="left"/>
    </x:xf>
    <x:xf numFmtId="0" fontId="6" fillId="13" borderId="2" xfId="0" applyFont="1" applyFill="1" applyBorder="1" applyAlignment="1">
      <x:alignment horizontal="center"/>
    </x:xf>
    <x:xf numFmtId="178" fontId="7" fillId="13" borderId="2" xfId="0" applyNumberFormat="1" applyFont="1" applyFill="1" applyBorder="1" applyAlignment="1">
      <x:alignment horizontal="right"/>
    </x:xf>
    <x:xf numFmtId="178" fontId="12" fillId="14" borderId="2" xfId="0" applyNumberFormat="1" applyFont="1" applyFill="1" applyBorder="1" applyAlignment="1">
      <x:alignment horizontal="right"/>
    </x:xf>
    <x:xf numFmtId="178" fontId="7" fillId="14" borderId="2" xfId="0" applyNumberFormat="1" applyFont="1" applyFill="1" applyBorder="1" applyAlignment="1">
      <x:alignment horizontal="right"/>
    </x:xf>
    <x:xf numFmtId="0" fontId="13" fillId="15" borderId="2" xfId="0" applyFont="1" applyFill="1" applyBorder="1" applyAlignment="1">
      <x:alignment horizontal="center"/>
    </x:xf>
    <x:xf numFmtId="0" fontId="5" fillId="16" borderId="2" xfId="0" applyFont="1" applyFill="1" applyBorder="1" applyAlignment="1">
      <x:alignment horizontal="left"/>
    </x:xf>
    <x:xf numFmtId="0" fontId="6" fillId="16" borderId="2" xfId="0" applyFont="1" applyFill="1" applyBorder="1" applyAlignment="1">
      <x:alignment horizontal="left"/>
    </x:xf>
    <x:xf numFmtId="0" fontId="6" fillId="16" borderId="2" xfId="0" applyFont="1" applyFill="1" applyBorder="1" applyAlignment="1">
      <x:alignment horizontal="center"/>
    </x:xf>
    <x:xf numFmtId="178" fontId="7" fillId="16" borderId="2" xfId="0" applyNumberFormat="1" applyFont="1" applyFill="1" applyBorder="1" applyAlignment="1">
      <x:alignment horizontal="right"/>
    </x:xf>
    <x:xf numFmtId="0" fontId="14" fillId="16" borderId="2" xfId="0" applyFont="1" applyFill="1" applyBorder="1" applyAlignment="1">
      <x:alignment horizontal="center"/>
    </x:xf>
    <x:xf numFmtId="0" fontId="9" fillId="16" borderId="2" xfId="0" applyFont="1" applyFill="1" applyBorder="1" applyAlignment="1">
      <x:alignment horizontal="left"/>
    </x:xf>
    <x:xf numFmtId="0" fontId="15" fillId="16" borderId="2" xfId="0" applyFont="1" applyFill="1" applyBorder="1" applyAlignment="1">
      <x:alignment horizontal="left"/>
    </x:xf>
    <x:xf numFmtId="0" fontId="5" fillId="16" borderId="0" xfId="0" applyFont="1" applyFill="1" applyBorder="1" applyAlignment="1">
      <x:alignment horizontal="left"/>
    </x:xf>
    <x:xf numFmtId="0" fontId="6" fillId="16" borderId="0" xfId="0" applyFont="1" applyFill="1" applyBorder="1" applyAlignment="1">
      <x:alignment horizontal="left"/>
    </x:xf>
    <x:xf numFmtId="0" fontId="6" fillId="16" borderId="0" xfId="0" applyFont="1" applyFill="1" applyBorder="1" applyAlignment="1">
      <x:alignment horizontal="center"/>
    </x:xf>
    <x:xf numFmtId="178" fontId="7" fillId="16" borderId="0" xfId="0" applyNumberFormat="1" applyFont="1" applyFill="1" applyBorder="1" applyAlignment="1">
      <x:alignment horizontal="right"/>
    </x:xf>
    <x:xf numFmtId="0" fontId="14" fillId="16" borderId="0" xfId="0" applyFont="1" applyFill="1" applyBorder="1" applyAlignment="1">
      <x:alignment horizontal="center"/>
    </x:xf>
    <x:xf numFmtId="0" fontId="9" fillId="16" borderId="0" xfId="0" applyFont="1" applyFill="1" applyBorder="1" applyAlignment="1">
      <x:alignment horizontal="left"/>
    </x:xf>
    <x:xf numFmtId="0" fontId="16" fillId="17" borderId="4" xfId="0" applyFont="1" applyFill="1" applyBorder="1" applyAlignment="1">
      <x:alignment horizontal="right"/>
    </x:xf>
    <x:xf numFmtId="0" fontId="17" fillId="17" borderId="4" xfId="0" applyFont="1" applyFill="1" applyBorder="1"/>
    <x:xf numFmtId="178" fontId="18" fillId="17" borderId="4" xfId="0" applyNumberFormat="1" applyFont="1" applyFill="1" applyBorder="1" applyAlignment="1">
      <x:alignment horizontal="right"/>
    </x:xf>
    <x:xf numFmtId="0" fontId="40" fillId="0" borderId="0" xfId="0" applyNumberFormat="1" applyFont="1" applyFill="1" applyBorder="1"/>
    <x:xf numFmtId="0" fontId="40" fillId="46" borderId="0" xfId="0" applyNumberFormat="1" applyFont="1" applyFill="1" applyBorder="1"/>
    <x:xf numFmtId="0" fontId="0" fillId="47" borderId="0" xfId="0" applyNumberFormat="1" applyFont="1" applyFill="1" applyBorder="1"/>
    <x:xf numFmtId="0" fontId="41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5e9e86e604f9d" /><Relationship Type="http://schemas.openxmlformats.org/officeDocument/2006/relationships/theme" Target="/xl/theme/theme1.xml" Id="R05e8b058c5494196" /><Relationship Type="http://schemas.openxmlformats.org/officeDocument/2006/relationships/sharedStrings" Target="/xl/sharedStrings.xml" Id="R45edbd8262d84d3b" /><Relationship Type="http://schemas.openxmlformats.org/officeDocument/2006/relationships/worksheet" Target="/xl/worksheets/sheet1.xml" Id="Rbe5bbaf8b49f48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4375" defaultRowHeight="15.199999809265137"/>
  <x:cols>
    <x:col min="2" max="3" width="15.7109375" customWidth="1"/>
    <x:col min="4" max="4" width="54.125" customWidth="1"/>
    <x:col min="5" max="5" width="4.2890625" customWidth="1"/>
    <x:col min="6" max="6" width="0.1171875" customWidth="1"/>
    <x:col min="7" max="7" width="28.7109375" hidden="1" customWidth="1"/>
    <x:col min="8" max="8" width="18.7109375" hidden="1" customWidth="1"/>
    <x:col min="9" max="9" width="8.5" customWidth="1"/>
    <x:col min="10" max="11" width="18.7109375" customWidth="1"/>
    <x:col min="12" max="12" width="16.7109375" customWidth="1"/>
    <x:col min="13" max="13" width="40.7109375" customWidth="1"/>
    <x:col min="14" max="14" width="46.3515625" customWidth="1"/>
    <x:col min="15" max="15" width="12" hidden="0" customWidth="1"/>
  </x:cols>
  <x:sheetData>
    <x:row r="1" ht="35" customHeight="1">
      <x:c r="B1" s="2" t="s">
        <x:v>0</x:v>
      </x:c>
      <x:c r="C1" s="2"/>
      <x:c r="D1" s="2"/>
    </x:row>
    <x:row r="2" ht="20" customHeight="1">
      <x:c r="B2" s="3" t="s">
        <x:v>1</x:v>
      </x:c>
      <x:c r="C2" s="3"/>
      <x:c r="D2" s="3"/>
    </x:row>
    <x:row r="4" ht="24" customHeight="1">
      <x:c r="B4" s="4" t="s">
        <x:v>2</x:v>
      </x:c>
      <x:c r="C4" s="5" t="s">
        <x:v>3</x:v>
      </x:c>
      <x:c r="D4" s="5"/>
      <x:c r="E4" s="5" t="s">
        <x:v>4</x:v>
      </x:c>
      <x:c r="F4" s="4" t="s">
        <x:v>5</x:v>
      </x:c>
      <x:c r="G4" s="4" t="s">
        <x:v>6</x:v>
      </x:c>
      <x:c r="H4" s="4" t="s">
        <x:v>7</x:v>
      </x:c>
      <x:c r="I4" s="4" t="s">
        <x:v>8</x:v>
      </x:c>
      <x:c r="J4" s="4" t="s">
        <x:v>9</x:v>
      </x:c>
      <x:c r="K4" s="5" t="s">
        <x:v>10</x:v>
      </x:c>
      <x:c r="L4" s="4" t="s">
        <x:v>11</x:v>
      </x:c>
      <x:c r="M4" s="4" t="s">
        <x:v>12</x:v>
      </x:c>
      <x:c r="N4" s="4" t="s">
        <x:v>13</x:v>
      </x:c>
      <x:c r="O4" t="str">
        <x:v>备注</x:v>
      </x:c>
    </x:row>
    <x:row r="5" ht="20" customHeight="1">
      <x:c r="A5" s="6">
        <x:v>1</x:v>
      </x:c>
      <x:c r="B5" s="7" t="s">
        <x:v>14</x:v>
      </x:c>
      <x:c r="C5" s="8">
        <x:v>915.28</x:v>
      </x:c>
      <x:c r="D5" s="7"/>
      <x:c r="E5" s="9"/>
      <x:c r="F5" s="9" t="s">
        <x:v>15</x:v>
      </x:c>
      <x:c r="G5" s="9" t="s">
        <x:v>16</x:v>
      </x:c>
      <x:c r="H5" s="10" t="s">
        <x:v>17</x:v>
      </x:c>
      <x:c r="I5" s="10">
        <x:v>2</x:v>
      </x:c>
      <x:c r="J5" s="11">
        <x:v>845.92</x:v>
      </x:c>
      <x:c r="K5" s="11" t="n">
        <x:f>C5-J5</x:f>
        <x:v>69.36000000000001</x:v>
      </x:c>
      <x:c r="L5" s="12" t="s">
        <x:v>18</x:v>
      </x:c>
      <x:c r="M5" s="13" t="s">
        <x:v>19</x:v>
      </x:c>
      <x:c r="N5" s="13" t="s">
        <x:v>20</x:v>
      </x:c>
    </x:row>
    <x:row r="6" ht="20" customHeight="1">
      <x:c r="A6" s="6">
        <x:v>2</x:v>
      </x:c>
      <x:c r="B6" s="7" t="s">
        <x:v>21</x:v>
      </x:c>
      <x:c r="C6" s="14"/>
      <x:c r="D6" s="7"/>
      <x:c r="E6" s="9"/>
      <x:c r="F6" s="9" t="s">
        <x:v>22</x:v>
      </x:c>
      <x:c r="G6" s="9" t="s">
        <x:v>23</x:v>
      </x:c>
      <x:c r="H6" s="10" t="s">
        <x:v>24</x:v>
      </x:c>
      <x:c r="I6" s="10">
        <x:v>21</x:v>
      </x:c>
      <x:c r="J6" s="11">
        <x:v>1968.02</x:v>
      </x:c>
      <x:c r="K6" s="11"/>
      <x:c r="L6" s="12" t="s">
        <x:v>18</x:v>
      </x:c>
      <x:c r="M6" s="13" t="s">
        <x:v>25</x:v>
      </x:c>
      <x:c r="N6" s="13" t="s">
        <x:v>26</x:v>
      </x:c>
    </x:row>
    <x:row r="7" ht="20" customHeight="1">
      <x:c r="A7" s="6">
        <x:v>4</x:v>
      </x:c>
      <x:c r="B7" s="15" t="s">
        <x:v>27</x:v>
      </x:c>
      <x:c r="C7" s="8">
        <x:v>1305.51</x:v>
      </x:c>
      <x:c r="D7" s="15" t="s">
        <x:v>28</x:v>
      </x:c>
      <x:c r="E7" s="16">
        <x:v>1837.32</x:v>
      </x:c>
      <x:c r="F7" s="16" t="s">
        <x:v>29</x:v>
      </x:c>
      <x:c r="G7" s="16" t="s">
        <x:v>30</x:v>
      </x:c>
      <x:c r="H7" s="17" t="s">
        <x:v>24</x:v>
      </x:c>
      <x:c r="I7" s="17">
        <x:v>13</x:v>
      </x:c>
      <x:c r="J7" s="18">
        <x:v>1185.51</x:v>
      </x:c>
      <x:c r="K7" s="11" t="n">
        <x:f>C7-J7</x:f>
        <x:v>120</x:v>
      </x:c>
      <x:c r="L7" s="19" t="s">
        <x:v>31</x:v>
      </x:c>
      <x:c r="M7" s="20" t="s">
        <x:v>32</x:v>
      </x:c>
      <x:c r="N7" s="20" t="s">
        <x:v>33</x:v>
      </x:c>
    </x:row>
    <x:row r="8" ht="20" customHeight="1">
      <x:c r="A8" s="6">
        <x:v>5</x:v>
      </x:c>
      <x:c r="B8" s="15" t="s">
        <x:v>34</x:v>
      </x:c>
      <x:c r="C8" s="8">
        <x:v>813.63</x:v>
      </x:c>
      <x:c r="D8" s="15"/>
      <x:c r="E8" s="16"/>
      <x:c r="F8" s="16" t="s">
        <x:v>35</x:v>
      </x:c>
      <x:c r="G8" s="16" t="s">
        <x:v>36</x:v>
      </x:c>
      <x:c r="H8" s="17" t="s">
        <x:v>24</x:v>
      </x:c>
      <x:c r="I8" s="17">
        <x:v>4</x:v>
      </x:c>
      <x:c r="J8" s="18">
        <x:v>821.4</x:v>
      </x:c>
      <x:c r="K8" s="21" t="n">
        <x:f>C8-J8</x:f>
        <x:v>-7.769999999999982</x:v>
      </x:c>
      <x:c r="L8" s="19" t="s">
        <x:v>31</x:v>
      </x:c>
      <x:c r="M8" s="20" t="s">
        <x:v>37</x:v>
      </x:c>
      <x:c r="N8" s="20" t="s">
        <x:v>38</x:v>
      </x:c>
    </x:row>
    <x:row r="9" ht="20" customHeight="1">
      <x:c r="A9" s="6">
        <x:v>6</x:v>
      </x:c>
      <x:c r="B9" s="15" t="s">
        <x:v>39</x:v>
      </x:c>
      <x:c r="C9" s="8">
        <x:v>357.6</x:v>
      </x:c>
      <x:c r="D9" s="15" t="s">
        <x:v>40</x:v>
      </x:c>
      <x:c r="E9" s="16">
        <x:v>436.8</x:v>
      </x:c>
      <x:c r="F9" s="16" t="s">
        <x:v>41</x:v>
      </x:c>
      <x:c r="G9" s="16" t="s">
        <x:v>42</x:v>
      </x:c>
      <x:c r="H9" s="17" t="s">
        <x:v>17</x:v>
      </x:c>
      <x:c r="I9" s="17">
        <x:v>1</x:v>
      </x:c>
      <x:c r="J9" s="18">
        <x:v>194.22</x:v>
      </x:c>
      <x:c r="K9" s="22"/>
      <x:c r="L9" s="19" t="s">
        <x:v>31</x:v>
      </x:c>
      <x:c r="M9" s="20" t="s">
        <x:v>43</x:v>
      </x:c>
      <x:c r="N9" s="20" t="s">
        <x:v>44</x:v>
      </x:c>
    </x:row>
    <x:row r="10" ht="20" customHeight="1">
      <x:c r="A10" s="6">
        <x:v>7</x:v>
      </x:c>
      <x:c r="B10" s="15" t="s">
        <x:v>39</x:v>
      </x:c>
      <x:c r="C10" s="8"/>
      <x:c r="D10" s="15"/>
      <x:c r="E10" s="16"/>
      <x:c r="F10" s="16" t="s">
        <x:v>41</x:v>
      </x:c>
      <x:c r="G10" s="16" t="s">
        <x:v>45</x:v>
      </x:c>
      <x:c r="H10" s="17" t="s">
        <x:v>24</x:v>
      </x:c>
      <x:c r="I10" s="17">
        <x:v>2</x:v>
      </x:c>
      <x:c r="J10" s="18">
        <x:v>272</x:v>
      </x:c>
      <x:c r="K10" s="22"/>
      <x:c r="L10" s="19" t="s">
        <x:v>31</x:v>
      </x:c>
      <x:c r="M10" s="20" t="s">
        <x:v>46</x:v>
      </x:c>
      <x:c r="N10" s="20" t="s">
        <x:v>47</x:v>
      </x:c>
    </x:row>
    <x:row r="11" ht="20" customHeight="1">
      <x:c r="A11" s="6">
        <x:v>8</x:v>
      </x:c>
      <x:c r="B11" s="15" t="s">
        <x:v>48</x:v>
      </x:c>
      <x:c r="C11" s="8">
        <x:v>79.2</x:v>
      </x:c>
      <x:c r="D11" s="15"/>
      <x:c r="E11" s="16"/>
      <x:c r="F11" s="16" t="s">
        <x:v>49</x:v>
      </x:c>
      <x:c r="G11" s="16" t="s">
        <x:v>50</x:v>
      </x:c>
      <x:c r="H11" s="17" t="s">
        <x:v>17</x:v>
      </x:c>
      <x:c r="I11" s="17">
        <x:v>2</x:v>
      </x:c>
      <x:c r="J11" s="18">
        <x:v>170.64</x:v>
      </x:c>
      <x:c r="K11" s="21" t="n">
        <x:f t="shared" ref="K11:K18" si="0">C11-J11</x:f>
        <x:v>-91.43999999999998</x:v>
      </x:c>
      <x:c r="L11" s="19" t="s">
        <x:v>31</x:v>
      </x:c>
      <x:c r="M11" s="20" t="s">
        <x:v>51</x:v>
      </x:c>
      <x:c r="N11" s="20" t="s">
        <x:v>52</x:v>
      </x:c>
    </x:row>
    <x:row r="12" ht="20" customHeight="1">
      <x:c r="A12" s="6">
        <x:v>9</x:v>
      </x:c>
      <x:c r="B12" s="15" t="s">
        <x:v>53</x:v>
      </x:c>
      <x:c r="C12" s="8">
        <x:v>1233.35</x:v>
      </x:c>
      <x:c r="D12" s="15"/>
      <x:c r="E12" s="16"/>
      <x:c r="F12" s="16" t="s">
        <x:v>54</x:v>
      </x:c>
      <x:c r="G12" s="16" t="s">
        <x:v>55</x:v>
      </x:c>
      <x:c r="H12" s="17" t="s">
        <x:v>24</x:v>
      </x:c>
      <x:c r="I12" s="17">
        <x:v>6</x:v>
      </x:c>
      <x:c r="J12" s="18">
        <x:v>1149.83</x:v>
      </x:c>
      <x:c r="K12" s="11">
        <x:f t="shared" si="0"/>
        <x:v>83.52</x:v>
      </x:c>
      <x:c r="L12" s="19" t="s">
        <x:v>31</x:v>
      </x:c>
      <x:c r="M12" s="20" t="s">
        <x:v>56</x:v>
      </x:c>
      <x:c r="N12" s="20" t="s">
        <x:v>57</x:v>
      </x:c>
    </x:row>
    <x:row r="13" ht="20" customHeight="1">
      <x:c r="A13" s="6">
        <x:v>10</x:v>
      </x:c>
      <x:c r="B13" s="15" t="s">
        <x:v>58</x:v>
      </x:c>
      <x:c r="C13" s="8">
        <x:v>1177.24</x:v>
      </x:c>
      <x:c r="D13" s="15" t="s">
        <x:v>59</x:v>
      </x:c>
      <x:c r="E13" s="16">
        <x:v>1286.64</x:v>
      </x:c>
      <x:c r="F13" s="16" t="s">
        <x:v>60</x:v>
      </x:c>
      <x:c r="G13" s="16" t="s">
        <x:v>61</x:v>
      </x:c>
      <x:c r="H13" s="17" t="s">
        <x:v>24</x:v>
      </x:c>
      <x:c r="I13" s="17">
        <x:v>6</x:v>
      </x:c>
      <x:c r="J13" s="18">
        <x:v>1118.31</x:v>
      </x:c>
      <x:c r="K13" s="11">
        <x:f t="shared" si="0"/>
        <x:v>58.9300000000001</x:v>
      </x:c>
      <x:c r="L13" s="19" t="s">
        <x:v>31</x:v>
      </x:c>
      <x:c r="M13" s="20" t="s">
        <x:v>62</x:v>
      </x:c>
      <x:c r="N13" s="20" t="s">
        <x:v>63</x:v>
      </x:c>
    </x:row>
    <x:row r="14" ht="20" customHeight="1">
      <x:c r="A14" s="6">
        <x:v>11</x:v>
      </x:c>
      <x:c r="B14" s="15" t="s">
        <x:v>64</x:v>
      </x:c>
      <x:c r="C14" s="8">
        <x:v>228</x:v>
      </x:c>
      <x:c r="D14" s="15"/>
      <x:c r="E14" s="16"/>
      <x:c r="F14" s="16" t="s">
        <x:v>35</x:v>
      </x:c>
      <x:c r="G14" s="16" t="s">
        <x:v>65</x:v>
      </x:c>
      <x:c r="H14" s="17" t="s">
        <x:v>24</x:v>
      </x:c>
      <x:c r="I14" s="17">
        <x:v>1</x:v>
      </x:c>
      <x:c r="J14" s="18">
        <x:v>251.21</x:v>
      </x:c>
      <x:c r="K14" s="21">
        <x:f t="shared" si="0"/>
        <x:v>-23.21</x:v>
      </x:c>
      <x:c r="L14" s="19" t="s">
        <x:v>31</x:v>
      </x:c>
      <x:c r="M14" s="20" t="s">
        <x:v>66</x:v>
      </x:c>
      <x:c r="N14" s="20" t="s">
        <x:v>67</x:v>
      </x:c>
    </x:row>
    <x:row r="15" ht="20" customHeight="1">
      <x:c r="A15" s="6">
        <x:v>12</x:v>
      </x:c>
      <x:c r="B15" s="15" t="s">
        <x:v>68</x:v>
      </x:c>
      <x:c r="C15" s="8">
        <x:v>588</x:v>
      </x:c>
      <x:c r="D15" s="15" t="s">
        <x:v>69</x:v>
      </x:c>
      <x:c r="E15" s="16">
        <x:v>5602.36</x:v>
      </x:c>
      <x:c r="F15" s="16" t="s">
        <x:v>70</x:v>
      </x:c>
      <x:c r="G15" s="16" t="s">
        <x:v>71</x:v>
      </x:c>
      <x:c r="H15" s="17" t="s">
        <x:v>17</x:v>
      </x:c>
      <x:c r="I15" s="17">
        <x:v>3</x:v>
      </x:c>
      <x:c r="J15" s="18">
        <x:v>253.57</x:v>
      </x:c>
      <x:c r="K15" s="11">
        <x:f t="shared" si="0"/>
        <x:v>334.43</x:v>
      </x:c>
      <x:c r="L15" s="19" t="s">
        <x:v>31</x:v>
      </x:c>
      <x:c r="M15" s="20" t="s">
        <x:v>72</x:v>
      </x:c>
      <x:c r="N15" s="20" t="s">
        <x:v>73</x:v>
      </x:c>
    </x:row>
    <x:row r="16" ht="20" customHeight="1">
      <x:c r="A16" s="6">
        <x:v>13</x:v>
      </x:c>
      <x:c r="B16" s="15" t="s">
        <x:v>74</x:v>
      </x:c>
      <x:c r="C16" s="8">
        <x:v>1117.54</x:v>
      </x:c>
      <x:c r="D16" s="23">
        <x:v>-6.77236783567838e+19</x:v>
      </x:c>
      <x:c r="E16" s="16">
        <x:v>3494.55</x:v>
      </x:c>
      <x:c r="F16" s="16" t="s">
        <x:v>60</x:v>
      </x:c>
      <x:c r="G16" s="16" t="s">
        <x:v>75</x:v>
      </x:c>
      <x:c r="H16" s="17" t="s">
        <x:v>24</x:v>
      </x:c>
      <x:c r="I16" s="17">
        <x:v>4</x:v>
      </x:c>
      <x:c r="J16" s="18">
        <x:v>1167.55</x:v>
      </x:c>
      <x:c r="K16" s="21">
        <x:f t="shared" si="0"/>
        <x:v>-50.01</x:v>
      </x:c>
      <x:c r="L16" s="19" t="s">
        <x:v>31</x:v>
      </x:c>
      <x:c r="M16" s="20" t="s">
        <x:v>76</x:v>
      </x:c>
      <x:c r="N16" s="20" t="s">
        <x:v>77</x:v>
      </x:c>
    </x:row>
    <x:row r="17" ht="20" customHeight="1">
      <x:c r="A17" s="6">
        <x:v>14</x:v>
      </x:c>
      <x:c r="B17" s="15" t="s">
        <x:v>78</x:v>
      </x:c>
      <x:c r="C17" s="8">
        <x:v>293.07</x:v>
      </x:c>
      <x:c r="D17" s="15"/>
      <x:c r="E17" s="16"/>
      <x:c r="F17" s="16" t="s">
        <x:v>35</x:v>
      </x:c>
      <x:c r="G17" s="16" t="s">
        <x:v>79</x:v>
      </x:c>
      <x:c r="H17" s="17" t="s">
        <x:v>24</x:v>
      </x:c>
      <x:c r="I17" s="17">
        <x:v>2</x:v>
      </x:c>
      <x:c r="J17" s="18">
        <x:v>343.07</x:v>
      </x:c>
      <x:c r="K17" s="21">
        <x:f t="shared" si="0"/>
        <x:v>-50</x:v>
      </x:c>
      <x:c r="L17" s="19" t="s">
        <x:v>31</x:v>
      </x:c>
      <x:c r="M17" s="20" t="s">
        <x:v>80</x:v>
      </x:c>
      <x:c r="N17" s="20" t="s">
        <x:v>81</x:v>
      </x:c>
    </x:row>
    <x:row r="18" ht="20" customHeight="1">
      <x:c r="A18" s="6">
        <x:v>15</x:v>
      </x:c>
      <x:c r="B18" s="15" t="s">
        <x:v>82</x:v>
      </x:c>
      <x:c r="C18" s="8">
        <x:v>195</x:v>
      </x:c>
      <x:c r="D18" s="15"/>
      <x:c r="E18" s="16"/>
      <x:c r="F18" s="16" t="s">
        <x:v>83</x:v>
      </x:c>
      <x:c r="G18" s="16" t="s">
        <x:v>84</x:v>
      </x:c>
      <x:c r="H18" s="17" t="s">
        <x:v>17</x:v>
      </x:c>
      <x:c r="I18" s="17">
        <x:v>1</x:v>
      </x:c>
      <x:c r="J18" s="18">
        <x:v>194.22</x:v>
      </x:c>
      <x:c r="K18" s="11">
        <x:f t="shared" si="0"/>
        <x:v>0.780000000000001</x:v>
      </x:c>
      <x:c r="L18" s="19" t="s">
        <x:v>31</x:v>
      </x:c>
      <x:c r="M18" s="20" t="s">
        <x:v>85</x:v>
      </x:c>
      <x:c r="N18" s="20" t="s">
        <x:v>86</x:v>
      </x:c>
    </x:row>
    <x:row r="19" ht="20" customHeight="1">
      <x:c r="A19" s="6">
        <x:v>16</x:v>
      </x:c>
      <x:c r="B19" s="15" t="s">
        <x:v>87</x:v>
      </x:c>
      <x:c r="C19" s="8">
        <x:v>320.76</x:v>
      </x:c>
      <x:c r="D19" s="24" t="s">
        <x:v>88</x:v>
      </x:c>
      <x:c r="E19" s="16">
        <x:v>525.31</x:v>
      </x:c>
      <x:c r="F19" s="16" t="s">
        <x:v>89</x:v>
      </x:c>
      <x:c r="G19" s="16" t="s">
        <x:v>90</x:v>
      </x:c>
      <x:c r="H19" s="17" t="s">
        <x:v>24</x:v>
      </x:c>
      <x:c r="I19" s="17">
        <x:v>1</x:v>
      </x:c>
      <x:c r="J19" s="18">
        <x:v>135</x:v>
      </x:c>
      <x:c r="K19" s="11" t="n">
        <x:f>C19-J19-J2</x:f>
        <x:v>185.76</x:v>
      </x:c>
      <x:c r="L19" s="19" t="s">
        <x:v>31</x:v>
      </x:c>
      <x:c r="M19" s="20" t="s">
        <x:v>91</x:v>
      </x:c>
      <x:c r="N19" s="20" t="s">
        <x:v>92</x:v>
      </x:c>
    </x:row>
    <x:row r="20" ht="20" customHeight="1">
      <x:c r="A20" s="6">
        <x:v>17</x:v>
      </x:c>
      <x:c r="B20" s="15" t="s">
        <x:v>87</x:v>
      </x:c>
      <x:c r="C20" s="8"/>
      <x:c r="D20" s="25"/>
      <x:c r="E20" s="16"/>
      <x:c r="F20" s="16" t="s">
        <x:v>89</x:v>
      </x:c>
      <x:c r="G20" s="16" t="s">
        <x:v>93</x:v>
      </x:c>
      <x:c r="H20" s="17" t="s">
        <x:v>17</x:v>
      </x:c>
      <x:c r="I20" s="17">
        <x:v>1</x:v>
      </x:c>
      <x:c r="J20" s="18">
        <x:v>149.76</x:v>
      </x:c>
      <x:c r="K20" s="22"/>
      <x:c r="L20" s="19" t="s">
        <x:v>31</x:v>
      </x:c>
      <x:c r="M20" s="20" t="s">
        <x:v>94</x:v>
      </x:c>
      <x:c r="N20" s="20" t="s">
        <x:v>95</x:v>
      </x:c>
    </x:row>
    <x:row r="21" ht="20" customHeight="1">
      <x:c r="A21" s="6">
        <x:v>18</x:v>
      </x:c>
      <x:c r="B21" s="15" t="s">
        <x:v>96</x:v>
      </x:c>
      <x:c r="C21" s="8">
        <x:v>204.55</x:v>
      </x:c>
      <x:c r="D21" s="15"/>
      <x:c r="E21" s="16"/>
      <x:c r="F21" s="16" t="s">
        <x:v>97</x:v>
      </x:c>
      <x:c r="G21" s="16" t="s">
        <x:v>98</x:v>
      </x:c>
      <x:c r="H21" s="17" t="s">
        <x:v>24</x:v>
      </x:c>
      <x:c r="I21" s="17">
        <x:v>1</x:v>
      </x:c>
      <x:c r="J21" s="18">
        <x:v>204.55</x:v>
      </x:c>
      <x:c r="K21" s="11"/>
      <x:c r="L21" s="19" t="s">
        <x:v>31</x:v>
      </x:c>
      <x:c r="M21" s="20" t="s">
        <x:v>99</x:v>
      </x:c>
      <x:c r="N21" s="20" t="s">
        <x:v>100</x:v>
      </x:c>
    </x:row>
    <x:row r="22" ht="20" customHeight="1">
      <x:c r="A22" s="6">
        <x:v>19</x:v>
      </x:c>
      <x:c r="B22" s="15" t="s">
        <x:v>101</x:v>
      </x:c>
      <x:c r="C22" s="8">
        <x:v>211.47</x:v>
      </x:c>
      <x:c r="D22" s="15"/>
      <x:c r="E22" s="16"/>
      <x:c r="F22" s="16" t="s">
        <x:v>102</x:v>
      </x:c>
      <x:c r="G22" s="16" t="s">
        <x:v>103</x:v>
      </x:c>
      <x:c r="H22" s="17" t="s">
        <x:v>24</x:v>
      </x:c>
      <x:c r="I22" s="17">
        <x:v>2</x:v>
      </x:c>
      <x:c r="J22" s="18">
        <x:v>211.46</x:v>
      </x:c>
      <x:c r="K22" s="11" t="n">
        <x:f>C22-J22</x:f>
        <x:v>0.009999999999990905</x:v>
      </x:c>
      <x:c r="L22" s="19" t="s">
        <x:v>31</x:v>
      </x:c>
      <x:c r="M22" s="20" t="s">
        <x:v>104</x:v>
      </x:c>
      <x:c r="N22" s="20" t="s">
        <x:v>105</x:v>
      </x:c>
    </x:row>
    <x:row r="23" ht="20" customHeight="1">
      <x:c r="A23" s="6">
        <x:v>20</x:v>
      </x:c>
      <x:c r="B23" s="15" t="s">
        <x:v>106</x:v>
      </x:c>
      <x:c r="C23" s="8">
        <x:v>1659.18</x:v>
      </x:c>
      <x:c r="D23" s="15"/>
      <x:c r="E23" s="16"/>
      <x:c r="F23" s="16" t="s">
        <x:v>49</x:v>
      </x:c>
      <x:c r="G23" s="16" t="s">
        <x:v>107</x:v>
      </x:c>
      <x:c r="H23" s="17" t="s">
        <x:v>17</x:v>
      </x:c>
      <x:c r="I23" s="17">
        <x:v>4</x:v>
      </x:c>
      <x:c r="J23" s="18">
        <x:v>1163.46</x:v>
      </x:c>
      <x:c r="K23" s="11" t="n">
        <x:f>C23-J23</x:f>
        <x:v>495.72</x:v>
      </x:c>
      <x:c r="L23" s="19" t="s">
        <x:v>31</x:v>
      </x:c>
      <x:c r="M23" s="20" t="s">
        <x:v>108</x:v>
      </x:c>
      <x:c r="N23" s="20" t="s">
        <x:v>109</x:v>
      </x:c>
    </x:row>
    <x:row r="24" ht="20" customHeight="1">
      <x:c r="A24" s="6">
        <x:v>21</x:v>
      </x:c>
      <x:c r="B24" s="15" t="s">
        <x:v>110</x:v>
      </x:c>
      <x:c r="C24" s="8">
        <x:v>2799.62</x:v>
      </x:c>
      <x:c r="D24" s="15"/>
      <x:c r="E24" s="16"/>
      <x:c r="F24" s="16" t="s">
        <x:v>111</x:v>
      </x:c>
      <x:c r="G24" s="16" t="s">
        <x:v>112</x:v>
      </x:c>
      <x:c r="H24" s="17" t="s">
        <x:v>24</x:v>
      </x:c>
      <x:c r="I24" s="17">
        <x:v>28</x:v>
      </x:c>
      <x:c r="J24" s="18">
        <x:v>2966.4</x:v>
      </x:c>
      <x:c r="K24" s="21" t="n">
        <x:f>C24-J24</x:f>
        <x:v>-166.7800000000002</x:v>
      </x:c>
      <x:c r="L24" s="19" t="s">
        <x:v>31</x:v>
      </x:c>
      <x:c r="M24" s="20" t="s">
        <x:v>113</x:v>
      </x:c>
      <x:c r="N24" s="20" t="s">
        <x:v>114</x:v>
      </x:c>
    </x:row>
    <x:row r="25" ht="20" customHeight="1">
      <x:c r="A25">
        <x:v>22</x:v>
      </x:c>
      <x:c r="B25" s="15" t="s">
        <x:v>115</x:v>
      </x:c>
      <x:c r="C25" s="15">
        <x:v>187.2</x:v>
      </x:c>
      <x:c r="D25" s="15"/>
      <x:c r="E25" s="16"/>
      <x:c r="F25" s="16" t="s">
        <x:v>116</x:v>
      </x:c>
      <x:c r="G25" s="16" t="s">
        <x:v>117</x:v>
      </x:c>
      <x:c r="H25" s="17" t="s">
        <x:v>17</x:v>
      </x:c>
      <x:c r="I25" s="17">
        <x:v>1</x:v>
      </x:c>
      <x:c r="J25" s="18">
        <x:v>234.4</x:v>
      </x:c>
      <x:c r="K25" s="11"/>
      <x:c r="L25" s="19" t="s">
        <x:v>31</x:v>
      </x:c>
      <x:c r="M25" s="20" t="s">
        <x:v>118</x:v>
      </x:c>
      <x:c r="N25" s="20" t="s">
        <x:v>119</x:v>
      </x:c>
    </x:row>
    <x:row r="26" ht="20" customHeight="1">
      <x:c r="A26" s="6">
        <x:v>23</x:v>
      </x:c>
      <x:c r="B26" s="15" t="s">
        <x:v>120</x:v>
      </x:c>
      <x:c r="C26" s="8">
        <x:v>186.77</x:v>
      </x:c>
      <x:c r="D26" s="15"/>
      <x:c r="E26" s="16"/>
      <x:c r="F26" s="16" t="s">
        <x:v>97</x:v>
      </x:c>
      <x:c r="G26" s="16" t="s">
        <x:v>121</x:v>
      </x:c>
      <x:c r="H26" s="17" t="s">
        <x:v>24</x:v>
      </x:c>
      <x:c r="I26" s="17">
        <x:v>1</x:v>
      </x:c>
      <x:c r="J26" s="18">
        <x:v>186.77</x:v>
      </x:c>
      <x:c r="K26" s="11" t="n">
        <x:f>C26-J26</x:f>
        <x:v>0</x:v>
      </x:c>
      <x:c r="L26" s="19" t="s">
        <x:v>31</x:v>
      </x:c>
      <x:c r="M26" s="20" t="s">
        <x:v>122</x:v>
      </x:c>
      <x:c r="N26" s="20" t="s">
        <x:v>123</x:v>
      </x:c>
    </x:row>
    <x:row r="27" ht="20" customHeight="1">
      <x:c r="A27" s="6">
        <x:v>24</x:v>
      </x:c>
      <x:c r="B27" s="15" t="s">
        <x:v>124</x:v>
      </x:c>
      <x:c r="C27" s="15">
        <x:v>1379.92</x:v>
      </x:c>
      <x:c r="D27" s="15"/>
      <x:c r="E27" s="16">
        <x:v>1335.17</x:v>
      </x:c>
      <x:c r="F27" s="16" t="s">
        <x:v>83</x:v>
      </x:c>
      <x:c r="G27" s="16" t="s">
        <x:v>125</x:v>
      </x:c>
      <x:c r="H27" s="17" t="s">
        <x:v>24</x:v>
      </x:c>
      <x:c r="I27" s="17">
        <x:v>6</x:v>
      </x:c>
      <x:c r="J27" s="18">
        <x:v>1335.17</x:v>
      </x:c>
      <x:c r="K27" s="11"/>
      <x:c r="L27" s="19" t="s">
        <x:v>31</x:v>
      </x:c>
      <x:c r="M27" s="20" t="s">
        <x:v>126</x:v>
      </x:c>
      <x:c r="N27" s="20" t="s">
        <x:v>127</x:v>
      </x:c>
    </x:row>
    <x:row r="28" s="1" customFormat="1" ht="20" customHeight="1">
      <x:c r="A28" s="6">
        <x:v>25</x:v>
      </x:c>
      <x:c r="B28" s="26" t="s">
        <x:v>128</x:v>
      </x:c>
      <x:c r="C28" s="26">
        <x:v>768.29</x:v>
      </x:c>
      <x:c r="D28" s="26"/>
      <x:c r="E28" s="27">
        <x:v>788.29</x:v>
      </x:c>
      <x:c r="F28" s="27" t="s">
        <x:v>129</x:v>
      </x:c>
      <x:c r="G28" s="27" t="s">
        <x:v>130</x:v>
      </x:c>
      <x:c r="H28" s="28" t="s">
        <x:v>24</x:v>
      </x:c>
      <x:c r="I28" s="28">
        <x:v>5</x:v>
      </x:c>
      <x:c r="J28" s="22">
        <x:v>788.3</x:v>
      </x:c>
      <x:c r="K28" s="22"/>
      <x:c r="L28" s="29" t="s">
        <x:v>31</x:v>
      </x:c>
      <x:c r="M28" s="30" t="s">
        <x:v>131</x:v>
      </x:c>
      <x:c r="N28" s="30" t="s">
        <x:v>132</x:v>
      </x:c>
    </x:row>
    <x:row r="29" ht="20" customHeight="1">
      <x:c r="A29">
        <x:v>26</x:v>
      </x:c>
      <x:c r="B29" s="31" t="s">
        <x:v>133</x:v>
      </x:c>
      <x:c r="C29" s="14"/>
      <x:c r="D29" s="15"/>
      <x:c r="E29" s="16"/>
      <x:c r="F29" s="16" t="s">
        <x:v>134</x:v>
      </x:c>
      <x:c r="G29" s="16" t="s">
        <x:v>135</x:v>
      </x:c>
      <x:c r="H29" s="17" t="s">
        <x:v>17</x:v>
      </x:c>
      <x:c r="I29" s="17">
        <x:v>7</x:v>
      </x:c>
      <x:c r="J29" s="18">
        <x:v>747.46</x:v>
      </x:c>
      <x:c r="K29" s="11"/>
      <x:c r="L29" s="19" t="s">
        <x:v>31</x:v>
      </x:c>
      <x:c r="M29" s="20" t="s">
        <x:v>136</x:v>
      </x:c>
      <x:c r="N29" s="20" t="s">
        <x:v>137</x:v>
      </x:c>
    </x:row>
    <x:row r="30" ht="20" customHeight="1">
      <x:c r="A30">
        <x:v>27</x:v>
      </x:c>
      <x:c r="B30" s="31" t="s">
        <x:v>133</x:v>
      </x:c>
      <x:c r="C30" s="14"/>
      <x:c r="D30" s="15"/>
      <x:c r="E30" s="16"/>
      <x:c r="F30" s="16" t="s">
        <x:v>134</x:v>
      </x:c>
      <x:c r="G30" s="16" t="s">
        <x:v>138</x:v>
      </x:c>
      <x:c r="H30" s="17" t="s">
        <x:v>24</x:v>
      </x:c>
      <x:c r="I30" s="17">
        <x:v>2</x:v>
      </x:c>
      <x:c r="J30" s="18">
        <x:v>313.88</x:v>
      </x:c>
      <x:c r="K30" s="11"/>
      <x:c r="L30" s="19" t="s">
        <x:v>31</x:v>
      </x:c>
      <x:c r="M30" s="20" t="s">
        <x:v>139</x:v>
      </x:c>
      <x:c r="N30" s="20" t="s">
        <x:v>140</x:v>
      </x:c>
    </x:row>
    <x:row r="31" ht="20" customHeight="1">
      <x:c r="A31" s="6">
        <x:v>28</x:v>
      </x:c>
      <x:c r="B31" s="15" t="s">
        <x:v>141</x:v>
      </x:c>
      <x:c r="C31" s="8">
        <x:v>729.96</x:v>
      </x:c>
      <x:c r="D31" s="15"/>
      <x:c r="E31" s="16"/>
      <x:c r="F31" s="16" t="s">
        <x:v>142</x:v>
      </x:c>
      <x:c r="G31" s="16" t="s">
        <x:v>143</x:v>
      </x:c>
      <x:c r="H31" s="17" t="s">
        <x:v>17</x:v>
      </x:c>
      <x:c r="I31" s="17">
        <x:v>4</x:v>
      </x:c>
      <x:c r="J31" s="18">
        <x:v>505.12</x:v>
      </x:c>
      <x:c r="K31" s="11" t="n">
        <x:f>C31-J31</x:f>
        <x:v>224.84000000000003</x:v>
      </x:c>
      <x:c r="L31" s="19" t="s">
        <x:v>31</x:v>
      </x:c>
      <x:c r="M31" s="20" t="s">
        <x:v>144</x:v>
      </x:c>
      <x:c r="N31" s="20" t="s">
        <x:v>145</x:v>
      </x:c>
    </x:row>
    <x:row r="32" ht="20" customHeight="1">
      <x:c r="A32" s="6">
        <x:v>29</x:v>
      </x:c>
      <x:c r="B32" s="15" t="s">
        <x:v>146</x:v>
      </x:c>
      <x:c r="C32" s="8">
        <x:v>1337.25</x:v>
      </x:c>
      <x:c r="D32" s="15" t="s">
        <x:v>147</x:v>
      </x:c>
      <x:c r="E32" s="16">
        <x:v>2429.03</x:v>
      </x:c>
      <x:c r="F32" s="16" t="s">
        <x:v>148</x:v>
      </x:c>
      <x:c r="G32" s="16" t="s">
        <x:v>149</x:v>
      </x:c>
      <x:c r="H32" s="17" t="s">
        <x:v>24</x:v>
      </x:c>
      <x:c r="I32" s="17">
        <x:v>5</x:v>
      </x:c>
      <x:c r="J32" s="18">
        <x:v>1412.25</x:v>
      </x:c>
      <x:c r="K32" s="21" t="n">
        <x:f>C32-J32</x:f>
        <x:v>-75</x:v>
      </x:c>
      <x:c r="L32" s="19" t="s">
        <x:v>31</x:v>
      </x:c>
      <x:c r="M32" s="20" t="s">
        <x:v>150</x:v>
      </x:c>
      <x:c r="N32" s="20" t="s">
        <x:v>151</x:v>
      </x:c>
    </x:row>
    <x:row r="33" ht="20" customHeight="1">
      <x:c r="A33" s="32">
        <x:v>30</x:v>
      </x:c>
      <x:c r="B33" s="31" t="s">
        <x:v>152</x:v>
      </x:c>
      <x:c r="C33" s="14"/>
      <x:c r="D33" s="15"/>
      <x:c r="E33" s="16"/>
      <x:c r="F33" s="16" t="s">
        <x:v>153</x:v>
      </x:c>
      <x:c r="G33" s="16" t="s">
        <x:v>154</x:v>
      </x:c>
      <x:c r="H33" s="17" t="s">
        <x:v>24</x:v>
      </x:c>
      <x:c r="I33" s="17">
        <x:v>2</x:v>
      </x:c>
      <x:c r="J33" s="18">
        <x:v>248.83</x:v>
      </x:c>
      <x:c r="K33" s="11"/>
      <x:c r="L33" s="19" t="s">
        <x:v>31</x:v>
      </x:c>
      <x:c r="M33" s="20" t="s">
        <x:v>155</x:v>
      </x:c>
      <x:c r="N33" s="20" t="s">
        <x:v>156</x:v>
      </x:c>
      <x:c r="O33" s="58" t="str">
        <x:v>已汇款</x:v>
      </x:c>
    </x:row>
    <x:row r="34" ht="20" customHeight="1">
      <x:c r="A34" s="32">
        <x:v>31</x:v>
      </x:c>
      <x:c r="B34" s="31" t="s">
        <x:v>152</x:v>
      </x:c>
      <x:c r="C34" s="14"/>
      <x:c r="D34" s="15"/>
      <x:c r="E34" s="16"/>
      <x:c r="F34" s="16" t="s">
        <x:v>153</x:v>
      </x:c>
      <x:c r="G34" s="16" t="s">
        <x:v>157</x:v>
      </x:c>
      <x:c r="H34" s="17" t="s">
        <x:v>17</x:v>
      </x:c>
      <x:c r="I34" s="17">
        <x:v>2</x:v>
      </x:c>
      <x:c r="J34" s="18">
        <x:v>665.28</x:v>
      </x:c>
      <x:c r="K34" s="11"/>
      <x:c r="L34" s="19" t="s">
        <x:v>31</x:v>
      </x:c>
      <x:c r="M34" s="20" t="s">
        <x:v>158</x:v>
      </x:c>
      <x:c r="N34" s="20" t="s">
        <x:v>159</x:v>
      </x:c>
      <x:c r="O34" s="58" t="str">
        <x:v>已汇款</x:v>
      </x:c>
    </x:row>
    <x:row r="35" ht="20" customHeight="1">
      <x:c r="A35">
        <x:v>32</x:v>
      </x:c>
      <x:c r="B35" s="15" t="s">
        <x:v>160</x:v>
      </x:c>
      <x:c r="C35" s="14"/>
      <x:c r="D35" s="15"/>
      <x:c r="E35" s="16"/>
      <x:c r="F35" s="16" t="s">
        <x:v>111</x:v>
      </x:c>
      <x:c r="G35" s="16" t="s">
        <x:v>161</x:v>
      </x:c>
      <x:c r="H35" s="17" t="s">
        <x:v>24</x:v>
      </x:c>
      <x:c r="I35" s="17">
        <x:v>4</x:v>
      </x:c>
      <x:c r="J35" s="18">
        <x:v>964.18</x:v>
      </x:c>
      <x:c r="K35" s="11"/>
      <x:c r="L35" s="19" t="s">
        <x:v>31</x:v>
      </x:c>
      <x:c r="M35" s="20" t="s">
        <x:v>162</x:v>
      </x:c>
      <x:c r="N35" s="20" t="s">
        <x:v>163</x:v>
      </x:c>
    </x:row>
    <x:row r="36" ht="20" customHeight="1">
      <x:c r="A36" s="6">
        <x:v>33</x:v>
      </x:c>
      <x:c r="B36" s="15" t="s">
        <x:v>164</x:v>
      </x:c>
      <x:c r="C36" s="8">
        <x:v>645.2</x:v>
      </x:c>
      <x:c r="D36" s="15"/>
      <x:c r="E36" s="16"/>
      <x:c r="F36" s="16" t="s">
        <x:v>15</x:v>
      </x:c>
      <x:c r="G36" s="16" t="s">
        <x:v>165</x:v>
      </x:c>
      <x:c r="H36" s="17" t="s">
        <x:v>17</x:v>
      </x:c>
      <x:c r="I36" s="17">
        <x:v>5</x:v>
      </x:c>
      <x:c r="J36" s="18">
        <x:v>690.69</x:v>
      </x:c>
      <x:c r="K36" s="21" t="n">
        <x:f>C36-J36</x:f>
        <x:v>-45.49000000000001</x:v>
      </x:c>
      <x:c r="L36" s="19" t="s">
        <x:v>31</x:v>
      </x:c>
      <x:c r="M36" s="20" t="s">
        <x:v>166</x:v>
      </x:c>
      <x:c r="N36" s="20" t="s">
        <x:v>167</x:v>
      </x:c>
    </x:row>
    <x:row r="37" ht="20" customHeight="1">
      <x:c r="A37" s="6">
        <x:v>34</x:v>
      </x:c>
      <x:c r="B37" s="31" t="s">
        <x:v>168</x:v>
      </x:c>
      <x:c r="C37" s="15">
        <x:v>1348.7</x:v>
      </x:c>
      <x:c r="D37" s="15"/>
      <x:c r="E37" s="16">
        <x:v>1342.71</x:v>
      </x:c>
      <x:c r="F37" s="16" t="s">
        <x:v>15</x:v>
      </x:c>
      <x:c r="G37" s="16" t="s">
        <x:v>169</x:v>
      </x:c>
      <x:c r="H37" s="17" t="s">
        <x:v>17</x:v>
      </x:c>
      <x:c r="I37" s="17">
        <x:v>3</x:v>
      </x:c>
      <x:c r="J37" s="18">
        <x:v>1342.71</x:v>
      </x:c>
      <x:c r="K37" s="11"/>
      <x:c r="L37" s="19" t="s">
        <x:v>31</x:v>
      </x:c>
      <x:c r="M37" s="20" t="s">
        <x:v>170</x:v>
      </x:c>
      <x:c r="N37" s="20" t="s">
        <x:v>171</x:v>
      </x:c>
    </x:row>
    <x:row r="38" ht="20" customHeight="1">
      <x:c r="A38" s="32">
        <x:v>36</x:v>
      </x:c>
      <x:c r="B38" s="15" t="s">
        <x:v>172</x:v>
      </x:c>
      <x:c r="C38" s="14">
        <x:v>219.88</x:v>
      </x:c>
      <x:c r="D38" s="15" t="s">
        <x:v>173</x:v>
      </x:c>
      <x:c r="E38" s="16">
        <x:v>6365.34</x:v>
      </x:c>
      <x:c r="F38" s="16" t="s">
        <x:v>134</x:v>
      </x:c>
      <x:c r="G38" s="16" t="s">
        <x:v>174</x:v>
      </x:c>
      <x:c r="H38" s="17" t="s">
        <x:v>24</x:v>
      </x:c>
      <x:c r="I38" s="17">
        <x:v>2</x:v>
      </x:c>
      <x:c r="J38" s="18">
        <x:v>219.86</x:v>
      </x:c>
      <x:c r="K38" s="11"/>
      <x:c r="L38" s="19" t="s">
        <x:v>31</x:v>
      </x:c>
      <x:c r="M38" s="20" t="s">
        <x:v>175</x:v>
      </x:c>
      <x:c r="N38" s="20" t="s">
        <x:v>176</x:v>
      </x:c>
      <x:c r="O38" s="58" t="str">
        <x:v>已汇款</x:v>
      </x:c>
    </x:row>
    <x:row r="39" ht="20" customHeight="1">
      <x:c r="A39" s="6">
        <x:v>37</x:v>
      </x:c>
      <x:c r="B39" s="15" t="s">
        <x:v>177</x:v>
      </x:c>
      <x:c r="C39" s="8">
        <x:v>311.42</x:v>
      </x:c>
      <x:c r="D39" s="15"/>
      <x:c r="E39" s="16"/>
      <x:c r="F39" s="16" t="s">
        <x:v>15</x:v>
      </x:c>
      <x:c r="G39" s="16" t="s">
        <x:v>178</x:v>
      </x:c>
      <x:c r="H39" s="17" t="s">
        <x:v>24</x:v>
      </x:c>
      <x:c r="I39" s="17">
        <x:v>2</x:v>
      </x:c>
      <x:c r="J39" s="18">
        <x:v>291.28</x:v>
      </x:c>
      <x:c r="K39" s="11" t="n">
        <x:f>C39-J39</x:f>
        <x:v>20.140000000000043</x:v>
      </x:c>
      <x:c r="L39" s="19" t="s">
        <x:v>31</x:v>
      </x:c>
      <x:c r="M39" s="20" t="s">
        <x:v>179</x:v>
      </x:c>
      <x:c r="N39" s="20" t="s">
        <x:v>180</x:v>
      </x:c>
    </x:row>
    <x:row r="40" ht="20" customHeight="1">
      <x:c r="A40" s="6">
        <x:v>38</x:v>
      </x:c>
      <x:c r="B40" s="15" t="s">
        <x:v>181</x:v>
      </x:c>
      <x:c r="C40" s="8">
        <x:v>262.8</x:v>
      </x:c>
      <x:c r="D40" s="15"/>
      <x:c r="E40" s="16"/>
      <x:c r="F40" s="16" t="s">
        <x:v>142</x:v>
      </x:c>
      <x:c r="G40" s="16" t="s">
        <x:v>182</x:v>
      </x:c>
      <x:c r="H40" s="17" t="s">
        <x:v>17</x:v>
      </x:c>
      <x:c r="I40" s="17">
        <x:v>11</x:v>
      </x:c>
      <x:c r="J40" s="18">
        <x:v>360.36</x:v>
      </x:c>
      <x:c r="K40" s="21" t="n">
        <x:f>C40-J40</x:f>
        <x:v>-97.56</x:v>
      </x:c>
      <x:c r="L40" s="19" t="s">
        <x:v>31</x:v>
      </x:c>
      <x:c r="M40" s="20" t="s">
        <x:v>183</x:v>
      </x:c>
      <x:c r="N40" s="20" t="s">
        <x:v>184</x:v>
      </x:c>
    </x:row>
    <x:row r="41" ht="20" customHeight="1">
      <x:c r="A41" s="6">
        <x:v>39</x:v>
      </x:c>
      <x:c r="B41" s="15" t="s">
        <x:v>185</x:v>
      </x:c>
      <x:c r="C41" s="8">
        <x:v>70.99</x:v>
      </x:c>
      <x:c r="D41" s="15" t="s">
        <x:v>186</x:v>
      </x:c>
      <x:c r="E41" s="16">
        <x:v>1823.41</x:v>
      </x:c>
      <x:c r="F41" s="16" t="s">
        <x:v>142</x:v>
      </x:c>
      <x:c r="G41" s="16" t="s">
        <x:v>187</x:v>
      </x:c>
      <x:c r="H41" s="17" t="s">
        <x:v>17</x:v>
      </x:c>
      <x:c r="I41" s="17">
        <x:v>1</x:v>
      </x:c>
      <x:c r="J41" s="18">
        <x:v>71.4</x:v>
      </x:c>
      <x:c r="K41" s="21" t="n">
        <x:f>C41-J41</x:f>
        <x:v>-0.4100000000000108</x:v>
      </x:c>
      <x:c r="L41" s="19" t="s">
        <x:v>31</x:v>
      </x:c>
      <x:c r="M41" s="20" t="s">
        <x:v>188</x:v>
      </x:c>
      <x:c r="N41" s="20" t="s">
        <x:v>189</x:v>
      </x:c>
    </x:row>
    <x:row r="42" ht="20" customHeight="1">
      <x:c r="A42" s="6">
        <x:v>40</x:v>
      </x:c>
      <x:c r="B42" s="15" t="s">
        <x:v>190</x:v>
      </x:c>
      <x:c r="C42" s="8">
        <x:v>83</x:v>
      </x:c>
      <x:c r="D42" s="15"/>
      <x:c r="E42" s="16"/>
      <x:c r="F42" s="16" t="s">
        <x:v>60</x:v>
      </x:c>
      <x:c r="G42" s="16" t="s">
        <x:v>191</x:v>
      </x:c>
      <x:c r="H42" s="17" t="s">
        <x:v>24</x:v>
      </x:c>
      <x:c r="I42" s="17">
        <x:v>1</x:v>
      </x:c>
      <x:c r="J42" s="18">
        <x:v>75</x:v>
      </x:c>
      <x:c r="K42" s="11" t="n">
        <x:f>C42-J42</x:f>
        <x:v>8</x:v>
      </x:c>
      <x:c r="L42" s="19" t="s">
        <x:v>31</x:v>
      </x:c>
      <x:c r="M42" s="20" t="s">
        <x:v>192</x:v>
      </x:c>
      <x:c r="N42" s="20" t="s">
        <x:v>193</x:v>
      </x:c>
    </x:row>
    <x:row r="43" ht="20" customHeight="1">
      <x:c r="A43" s="6">
        <x:v>41</x:v>
      </x:c>
      <x:c r="B43" s="15" t="s">
        <x:v>194</x:v>
      </x:c>
      <x:c r="C43" s="8">
        <x:v>450</x:v>
      </x:c>
      <x:c r="D43" s="15"/>
      <x:c r="E43" s="16"/>
      <x:c r="F43" s="16" t="s">
        <x:v>35</x:v>
      </x:c>
      <x:c r="G43" s="16" t="s">
        <x:v>195</x:v>
      </x:c>
      <x:c r="H43" s="17" t="s">
        <x:v>24</x:v>
      </x:c>
      <x:c r="I43" s="17">
        <x:v>2</x:v>
      </x:c>
      <x:c r="J43" s="18">
        <x:v>480</x:v>
      </x:c>
      <x:c r="K43" s="21" t="n">
        <x:f>C43-J43</x:f>
        <x:v>-30</x:v>
      </x:c>
      <x:c r="L43" s="19" t="s">
        <x:v>31</x:v>
      </x:c>
      <x:c r="M43" s="20" t="s">
        <x:v>196</x:v>
      </x:c>
      <x:c r="N43" s="20" t="s">
        <x:v>197</x:v>
      </x:c>
    </x:row>
    <x:row r="44" ht="20" customHeight="1">
      <x:c r="A44" s="6">
        <x:v>42</x:v>
      </x:c>
      <x:c r="B44" s="15" t="s">
        <x:v>198</x:v>
      </x:c>
      <x:c r="C44" s="14"/>
      <x:c r="D44" s="15">
        <x:v>68192.68286</x:v>
      </x:c>
      <x:c r="E44" s="16">
        <x:v>995.9</x:v>
      </x:c>
      <x:c r="F44" s="16" t="s">
        <x:v>134</x:v>
      </x:c>
      <x:c r="G44" s="16" t="s">
        <x:v>199</x:v>
      </x:c>
      <x:c r="H44" s="17" t="s">
        <x:v>24</x:v>
      </x:c>
      <x:c r="I44" s="17">
        <x:v>3</x:v>
      </x:c>
      <x:c r="J44" s="18">
        <x:v>856.12</x:v>
      </x:c>
      <x:c r="K44" s="18"/>
      <x:c r="L44" s="19" t="s">
        <x:v>31</x:v>
      </x:c>
      <x:c r="M44" s="20" t="s">
        <x:v>200</x:v>
      </x:c>
      <x:c r="N44" s="20" t="s">
        <x:v>201</x:v>
      </x:c>
    </x:row>
    <x:row r="45" ht="20" customHeight="1">
      <x:c r="A45" s="33">
        <x:v>43</x:v>
      </x:c>
      <x:c r="B45" s="15" t="s">
        <x:v>202</x:v>
      </x:c>
      <x:c r="C45" s="14"/>
      <x:c r="D45" s="15"/>
      <x:c r="E45" s="16"/>
      <x:c r="F45" s="16"/>
      <x:c r="G45" s="16"/>
      <x:c r="H45" s="17"/>
      <x:c r="I45" s="17"/>
      <x:c r="J45" s="18">
        <x:v>93.49</x:v>
      </x:c>
      <x:c r="K45" s="18"/>
      <x:c r="L45" s="19"/>
      <x:c r="M45" s="20"/>
      <x:c r="N45" s="20"/>
    </x:row>
    <x:row r="46" ht="20" customHeight="1">
      <x:c r="A46" s="32">
        <x:v>44</x:v>
      </x:c>
      <x:c r="B46" s="15" t="s">
        <x:v>203</x:v>
      </x:c>
      <x:c r="C46" s="14"/>
      <x:c r="D46" s="15"/>
      <x:c r="E46" s="16"/>
      <x:c r="F46" s="16" t="s">
        <x:v>204</x:v>
      </x:c>
      <x:c r="G46" s="16" t="s">
        <x:v>205</x:v>
      </x:c>
      <x:c r="H46" s="17" t="s">
        <x:v>24</x:v>
      </x:c>
      <x:c r="I46" s="17">
        <x:v>1</x:v>
      </x:c>
      <x:c r="J46" s="18">
        <x:v>274.14</x:v>
      </x:c>
      <x:c r="K46" s="18"/>
      <x:c r="L46" s="19" t="s">
        <x:v>31</x:v>
      </x:c>
      <x:c r="M46" s="20" t="s">
        <x:v>206</x:v>
      </x:c>
      <x:c r="N46" s="20" t="s">
        <x:v>207</x:v>
      </x:c>
      <x:c r="O46" s="58" t="str">
        <x:v>已汇款</x:v>
      </x:c>
    </x:row>
    <x:row r="47" ht="20" customHeight="1">
      <x:c r="A47" s="33">
        <x:v>45</x:v>
      </x:c>
      <x:c r="B47" s="31" t="s">
        <x:v>208</x:v>
      </x:c>
      <x:c r="C47" s="14"/>
      <x:c r="D47" s="15"/>
      <x:c r="E47" s="16"/>
      <x:c r="F47" s="16" t="s">
        <x:v>209</x:v>
      </x:c>
      <x:c r="G47" s="16" t="s">
        <x:v>210</x:v>
      </x:c>
      <x:c r="H47" s="17" t="s">
        <x:v>24</x:v>
      </x:c>
      <x:c r="I47" s="17">
        <x:v>13</x:v>
      </x:c>
      <x:c r="J47" s="18">
        <x:v>2310.05</x:v>
      </x:c>
      <x:c r="K47" s="18"/>
      <x:c r="L47" s="19" t="s">
        <x:v>31</x:v>
      </x:c>
      <x:c r="M47" s="20" t="s">
        <x:v>211</x:v>
      </x:c>
      <x:c r="N47" s="20" t="s">
        <x:v>212</x:v>
      </x:c>
    </x:row>
    <x:row r="48" ht="20" customHeight="1">
      <x:c r="A48" s="33">
        <x:v>46</x:v>
      </x:c>
      <x:c r="B48" s="34" t="s">
        <x:v>208</x:v>
      </x:c>
      <x:c r="C48" s="34"/>
      <x:c r="D48" s="34"/>
      <x:c r="E48" s="35"/>
      <x:c r="F48" s="35" t="s">
        <x:v>209</x:v>
      </x:c>
      <x:c r="G48" s="35" t="s">
        <x:v>213</x:v>
      </x:c>
      <x:c r="H48" s="36" t="s">
        <x:v>17</x:v>
      </x:c>
      <x:c r="I48" s="36">
        <x:v>1</x:v>
      </x:c>
      <x:c r="J48" s="37">
        <x:v>420</x:v>
      </x:c>
      <x:c r="K48" s="38" t="s">
        <x:v>214</x:v>
      </x:c>
      <x:c r="L48" s="19" t="s">
        <x:v>31</x:v>
      </x:c>
      <x:c r="M48" s="20" t="s">
        <x:v>215</x:v>
      </x:c>
      <x:c r="N48" s="20" t="s">
        <x:v>216</x:v>
      </x:c>
    </x:row>
    <x:row r="49" ht="20" customHeight="1">
      <x:c r="A49" s="32">
        <x:v>47</x:v>
      </x:c>
      <x:c r="B49" s="15" t="s">
        <x:v>217</x:v>
      </x:c>
      <x:c r="C49" s="14"/>
      <x:c r="D49" s="15"/>
      <x:c r="E49" s="16"/>
      <x:c r="F49" s="16" t="s">
        <x:v>142</x:v>
      </x:c>
      <x:c r="G49" s="16" t="s">
        <x:v>218</x:v>
      </x:c>
      <x:c r="H49" s="17" t="s">
        <x:v>24</x:v>
      </x:c>
      <x:c r="I49" s="17">
        <x:v>27</x:v>
      </x:c>
      <x:c r="J49" s="18">
        <x:v>2906.21</x:v>
      </x:c>
      <x:c r="K49" s="18"/>
      <x:c r="L49" s="19" t="s">
        <x:v>31</x:v>
      </x:c>
      <x:c r="M49" s="20" t="s">
        <x:v>219</x:v>
      </x:c>
      <x:c r="N49" s="20" t="s">
        <x:v>220</x:v>
      </x:c>
      <x:c r="O49" s="58" t="str">
        <x:v>已汇款</x:v>
      </x:c>
    </x:row>
    <x:row r="50" ht="20" customHeight="1">
      <x:c r="A50" s="33">
        <x:v>48</x:v>
      </x:c>
      <x:c r="B50" s="15" t="s">
        <x:v>221</x:v>
      </x:c>
      <x:c r="C50" s="14"/>
      <x:c r="D50" s="15" t="s">
        <x:v>222</x:v>
      </x:c>
      <x:c r="E50" s="16"/>
      <x:c r="F50" s="16" t="s">
        <x:v>142</x:v>
      </x:c>
      <x:c r="G50" s="16" t="s">
        <x:v>223</x:v>
      </x:c>
      <x:c r="H50" s="17" t="s">
        <x:v>17</x:v>
      </x:c>
      <x:c r="I50" s="17">
        <x:v>9</x:v>
      </x:c>
      <x:c r="J50" s="18">
        <x:v>1135.3</x:v>
      </x:c>
      <x:c r="K50" s="18"/>
      <x:c r="L50" s="19" t="s">
        <x:v>31</x:v>
      </x:c>
      <x:c r="M50" s="20" t="s">
        <x:v>224</x:v>
      </x:c>
      <x:c r="N50" s="20" t="s">
        <x:v>225</x:v>
      </x:c>
    </x:row>
    <x:row r="51" ht="20" customHeight="1">
      <x:c r="A51" s="6">
        <x:v>49</x:v>
      </x:c>
      <x:c r="B51" s="15" t="s">
        <x:v>226</x:v>
      </x:c>
      <x:c r="C51" s="14"/>
      <x:c r="D51" s="15"/>
      <x:c r="E51" s="16"/>
      <x:c r="F51" s="16" t="s">
        <x:v>83</x:v>
      </x:c>
      <x:c r="G51" s="16" t="s">
        <x:v>227</x:v>
      </x:c>
      <x:c r="H51" s="17" t="s">
        <x:v>17</x:v>
      </x:c>
      <x:c r="I51" s="17">
        <x:v>2</x:v>
      </x:c>
      <x:c r="J51" s="18">
        <x:v>1034.28</x:v>
      </x:c>
      <x:c r="K51" s="18"/>
      <x:c r="L51" s="19" t="s">
        <x:v>31</x:v>
      </x:c>
      <x:c r="M51" s="20" t="s">
        <x:v>228</x:v>
      </x:c>
      <x:c r="N51" s="20" t="s">
        <x:v>229</x:v>
      </x:c>
    </x:row>
    <x:row r="52" ht="20" customHeight="1">
      <x:c r="A52" s="33">
        <x:v>50</x:v>
      </x:c>
      <x:c r="B52" s="15" t="s">
        <x:v>230</x:v>
      </x:c>
      <x:c r="C52" s="14"/>
      <x:c r="D52" s="15" t="s">
        <x:v>231</x:v>
      </x:c>
      <x:c r="E52" s="16">
        <x:v>3065.76</x:v>
      </x:c>
      <x:c r="F52" s="16" t="s">
        <x:v>232</x:v>
      </x:c>
      <x:c r="G52" s="16" t="s">
        <x:v>233</x:v>
      </x:c>
      <x:c r="H52" s="17" t="s">
        <x:v>24</x:v>
      </x:c>
      <x:c r="I52" s="17">
        <x:v>3</x:v>
      </x:c>
      <x:c r="J52" s="18">
        <x:v>242.22</x:v>
      </x:c>
      <x:c r="K52" s="18"/>
      <x:c r="L52" s="19" t="s">
        <x:v>31</x:v>
      </x:c>
      <x:c r="M52" s="20" t="s">
        <x:v>234</x:v>
      </x:c>
      <x:c r="N52" s="20" t="s">
        <x:v>235</x:v>
      </x:c>
    </x:row>
    <x:row r="53" ht="20" customHeight="1">
      <x:c r="A53" s="33">
        <x:v>51</x:v>
      </x:c>
      <x:c r="B53" s="34" t="s">
        <x:v>236</x:v>
      </x:c>
      <x:c r="C53" s="34"/>
      <x:c r="D53" s="34"/>
      <x:c r="E53" s="35"/>
      <x:c r="F53" s="35" t="s">
        <x:v>22</x:v>
      </x:c>
      <x:c r="G53" s="35" t="s">
        <x:v>237</x:v>
      </x:c>
      <x:c r="H53" s="36" t="s">
        <x:v>17</x:v>
      </x:c>
      <x:c r="I53" s="36">
        <x:v>10</x:v>
      </x:c>
      <x:c r="J53" s="37">
        <x:v>1897.7</x:v>
      </x:c>
      <x:c r="K53" s="38" t="s">
        <x:v>238</x:v>
      </x:c>
      <x:c r="L53" s="19" t="s">
        <x:v>31</x:v>
      </x:c>
      <x:c r="M53" s="20" t="s">
        <x:v>239</x:v>
      </x:c>
      <x:c r="N53" s="20" t="s">
        <x:v>240</x:v>
      </x:c>
    </x:row>
    <x:row r="54" ht="20" customHeight="1">
      <x:c r="A54" s="32">
        <x:v>52</x:v>
      </x:c>
      <x:c r="B54" s="15" t="s">
        <x:v>21</x:v>
      </x:c>
      <x:c r="C54" s="14"/>
      <x:c r="D54" s="15"/>
      <x:c r="E54" s="16"/>
      <x:c r="F54" s="16"/>
      <x:c r="G54" s="16"/>
      <x:c r="H54" s="17"/>
      <x:c r="I54" s="17"/>
      <x:c r="J54" s="18">
        <x:v>1968.02</x:v>
      </x:c>
      <x:c r="K54" s="38"/>
      <x:c r="L54" s="19"/>
      <x:c r="M54" s="20"/>
      <x:c r="N54" s="20"/>
      <x:c r="O54" s="58" t="str">
        <x:v>已汇款</x:v>
      </x:c>
    </x:row>
    <x:row r="55" ht="20" customHeight="1">
      <x:c r="A55" s="32">
        <x:v>53</x:v>
      </x:c>
      <x:c r="B55" s="15" t="s">
        <x:v>241</x:v>
      </x:c>
      <x:c r="C55" s="14"/>
      <x:c r="D55" s="15"/>
      <x:c r="E55" s="16"/>
      <x:c r="F55" s="16" t="s">
        <x:v>60</x:v>
      </x:c>
      <x:c r="G55" s="16" t="s">
        <x:v>242</x:v>
      </x:c>
      <x:c r="H55" s="17" t="s">
        <x:v>24</x:v>
      </x:c>
      <x:c r="I55" s="17">
        <x:v>1</x:v>
      </x:c>
      <x:c r="J55" s="18">
        <x:v>75</x:v>
      </x:c>
      <x:c r="K55" s="18"/>
      <x:c r="L55" s="19" t="s">
        <x:v>31</x:v>
      </x:c>
      <x:c r="M55" s="20" t="s">
        <x:v>243</x:v>
      </x:c>
      <x:c r="N55" s="20" t="s">
        <x:v>244</x:v>
      </x:c>
      <x:c r="O55" s="58" t="str">
        <x:v>已汇款</x:v>
      </x:c>
    </x:row>
    <x:row r="56" ht="20" customHeight="1">
      <x:c r="A56" s="6">
        <x:v>54</x:v>
      </x:c>
      <x:c r="B56" s="15" t="s">
        <x:v>245</x:v>
      </x:c>
      <x:c r="C56" s="14"/>
      <x:c r="D56" s="15"/>
      <x:c r="E56" s="16"/>
      <x:c r="F56" s="16" t="s">
        <x:v>246</x:v>
      </x:c>
      <x:c r="G56" s="16" t="s">
        <x:v>247</x:v>
      </x:c>
      <x:c r="H56" s="17" t="s">
        <x:v>17</x:v>
      </x:c>
      <x:c r="I56" s="17">
        <x:v>1</x:v>
      </x:c>
      <x:c r="J56" s="18">
        <x:v>139.23</x:v>
      </x:c>
      <x:c r="K56" s="18"/>
      <x:c r="L56" s="19" t="s">
        <x:v>31</x:v>
      </x:c>
      <x:c r="M56" s="20" t="s">
        <x:v>248</x:v>
      </x:c>
      <x:c r="N56" s="20" t="s">
        <x:v>249</x:v>
      </x:c>
    </x:row>
    <x:row r="57" ht="20" customHeight="1">
      <x:c r="A57" s="33">
        <x:v>55</x:v>
      </x:c>
      <x:c r="B57" s="15" t="s">
        <x:v>250</x:v>
      </x:c>
      <x:c r="C57" s="14"/>
      <x:c r="D57" s="15"/>
      <x:c r="E57" s="16"/>
      <x:c r="F57" s="16" t="s">
        <x:v>97</x:v>
      </x:c>
      <x:c r="G57" s="16" t="s">
        <x:v>251</x:v>
      </x:c>
      <x:c r="H57" s="17" t="s">
        <x:v>24</x:v>
      </x:c>
      <x:c r="I57" s="17">
        <x:v>2</x:v>
      </x:c>
      <x:c r="J57" s="18">
        <x:v>388.34</x:v>
      </x:c>
      <x:c r="K57" s="18"/>
      <x:c r="L57" s="19" t="s">
        <x:v>31</x:v>
      </x:c>
      <x:c r="M57" s="20" t="s">
        <x:v>252</x:v>
      </x:c>
      <x:c r="N57" s="20" t="s">
        <x:v>253</x:v>
      </x:c>
    </x:row>
    <x:row r="58" ht="20" customHeight="1">
      <x:c r="A58" s="6">
        <x:v>56</x:v>
      </x:c>
      <x:c r="B58" s="34" t="s">
        <x:v>254</x:v>
      </x:c>
      <x:c r="C58" s="34"/>
      <x:c r="D58" s="34"/>
      <x:c r="E58" s="35"/>
      <x:c r="F58" s="35"/>
      <x:c r="G58" s="35"/>
      <x:c r="H58" s="36"/>
      <x:c r="I58" s="36"/>
      <x:c r="J58" s="37">
        <x:v>1582.98</x:v>
      </x:c>
      <x:c r="K58" s="39" t="s">
        <x:v>238</x:v>
      </x:c>
      <x:c r="L58" s="40" t="s">
        <x:v>255</x:v>
      </x:c>
      <x:c r="M58" s="20"/>
      <x:c r="N58" s="20"/>
    </x:row>
    <x:row r="59" ht="20" customHeight="1">
      <x:c r="A59" s="33">
        <x:v>57</x:v>
      </x:c>
      <x:c r="B59" s="15" t="s">
        <x:v>256</x:v>
      </x:c>
      <x:c r="C59" s="14"/>
      <x:c r="D59" s="41"/>
      <x:c r="E59" s="42"/>
      <x:c r="F59" s="42"/>
      <x:c r="G59" s="42"/>
      <x:c r="H59" s="43"/>
      <x:c r="I59" s="43"/>
      <x:c r="J59" s="44">
        <x:v>370.6</x:v>
      </x:c>
      <x:c r="K59" s="44"/>
      <x:c r="L59" s="45"/>
      <x:c r="M59" s="46"/>
      <x:c r="N59" s="46"/>
    </x:row>
    <x:row r="60" ht="20" customHeight="1">
      <x:c r="A60" s="6">
        <x:v>58</x:v>
      </x:c>
      <x:c r="B60" s="41" t="s">
        <x:v>257</x:v>
      </x:c>
      <x:c r="C60" s="41">
        <x:v>149.44</x:v>
      </x:c>
      <x:c r="D60" s="47" t="s">
        <x:v>258</x:v>
      </x:c>
      <x:c r="E60" s="42">
        <x:v>149.44</x:v>
      </x:c>
      <x:c r="F60" s="42" t="s">
        <x:v>259</x:v>
      </x:c>
      <x:c r="G60" s="42" t="s">
        <x:v>260</x:v>
      </x:c>
      <x:c r="H60" s="43" t="s">
        <x:v>24</x:v>
      </x:c>
      <x:c r="I60" s="43">
        <x:v>1</x:v>
      </x:c>
      <x:c r="J60" s="44">
        <x:v>149.44</x:v>
      </x:c>
      <x:c r="K60" s="44"/>
      <x:c r="L60" s="45" t="s">
        <x:v>261</x:v>
      </x:c>
      <x:c r="M60" s="46" t="s">
        <x:v>262</x:v>
      </x:c>
      <x:c r="N60" s="46" t="s">
        <x:v>263</x:v>
      </x:c>
    </x:row>
    <x:row r="61" ht="20" customHeight="1">
      <x:c r="A61" s="6">
        <x:v>59</x:v>
      </x:c>
      <x:c r="B61" s="41" t="s">
        <x:v>264</x:v>
      </x:c>
      <x:c r="C61" s="41"/>
      <x:c r="D61" s="41"/>
      <x:c r="E61" s="42"/>
      <x:c r="F61" s="42"/>
      <x:c r="G61" s="42"/>
      <x:c r="H61" s="43"/>
      <x:c r="I61" s="43"/>
      <x:c r="J61" s="44">
        <x:v>279.98</x:v>
      </x:c>
      <x:c r="K61" s="44"/>
      <x:c r="L61" s="45"/>
      <x:c r="M61" s="46"/>
      <x:c r="N61" s="46"/>
    </x:row>
    <x:row r="62" ht="20" customHeight="1">
      <x:c r="A62" s="6">
        <x:v>60</x:v>
      </x:c>
      <x:c r="B62" s="26" t="s">
        <x:v>265</x:v>
      </x:c>
      <x:c r="C62" s="41"/>
      <x:c r="D62" s="41"/>
      <x:c r="E62" s="42"/>
      <x:c r="F62" s="42"/>
      <x:c r="G62" s="42"/>
      <x:c r="H62" s="43"/>
      <x:c r="I62" s="43"/>
      <x:c r="J62" s="44">
        <x:v>620.28</x:v>
      </x:c>
      <x:c r="K62" s="44"/>
      <x:c r="L62" s="45"/>
      <x:c r="M62" s="46"/>
      <x:c r="N62" s="46"/>
    </x:row>
    <x:row r="63" ht="20" customHeight="1">
      <x:c r="A63" s="6">
        <x:v>61</x:v>
      </x:c>
      <x:c r="B63" s="26" t="s">
        <x:v>266</x:v>
      </x:c>
      <x:c r="C63" s="41"/>
      <x:c r="D63" s="41" t="s">
        <x:v>267</x:v>
      </x:c>
      <x:c r="E63" s="42">
        <x:v>1361.96</x:v>
      </x:c>
      <x:c r="F63" s="42"/>
      <x:c r="G63" s="42"/>
      <x:c r="H63" s="43"/>
      <x:c r="I63" s="43"/>
      <x:c r="J63" s="44">
        <x:v>270</x:v>
      </x:c>
      <x:c r="K63" s="44"/>
      <x:c r="L63" s="45"/>
      <x:c r="M63" s="46"/>
      <x:c r="N63" s="46"/>
    </x:row>
    <x:row r="64" ht="20" customHeight="1">
      <x:c r="A64" s="6">
        <x:v>62</x:v>
      </x:c>
      <x:c r="B64" s="26" t="s">
        <x:v>268</x:v>
      </x:c>
      <x:c r="C64" s="41"/>
      <x:c r="D64" s="41"/>
      <x:c r="E64" s="42"/>
      <x:c r="F64" s="42"/>
      <x:c r="G64" s="42"/>
      <x:c r="H64" s="43"/>
      <x:c r="I64" s="43"/>
      <x:c r="J64" s="44">
        <x:v>471.68</x:v>
      </x:c>
      <x:c r="K64" s="44"/>
      <x:c r="L64" s="45"/>
      <x:c r="M64" s="46"/>
      <x:c r="N64" s="46"/>
    </x:row>
    <x:row r="65" ht="20" customHeight="1">
      <x:c r="A65">
        <x:v>63</x:v>
      </x:c>
      <x:c r="B65" s="41" t="s">
        <x:v>269</x:v>
      </x:c>
      <x:c r="C65" s="41">
        <x:v>324</x:v>
      </x:c>
      <x:c r="D65" s="41"/>
      <x:c r="E65" s="42"/>
      <x:c r="F65" s="42" t="s">
        <x:v>270</x:v>
      </x:c>
      <x:c r="G65" s="42" t="s">
        <x:v>271</x:v>
      </x:c>
      <x:c r="H65" s="43" t="s">
        <x:v>17</x:v>
      </x:c>
      <x:c r="I65" s="43">
        <x:v>1</x:v>
      </x:c>
      <x:c r="J65" s="44">
        <x:v>324</x:v>
      </x:c>
      <x:c r="K65" s="44"/>
      <x:c r="L65" s="45" t="s">
        <x:v>261</x:v>
      </x:c>
      <x:c r="M65" s="46" t="s">
        <x:v>272</x:v>
      </x:c>
      <x:c r="N65" s="46" t="s">
        <x:v>263</x:v>
      </x:c>
    </x:row>
    <x:row r="66" ht="20" customHeight="1">
      <x:c r="A66" s="6">
        <x:v>64</x:v>
      </x:c>
      <x:c r="B66" s="41" t="s">
        <x:v>273</x:v>
      </x:c>
      <x:c r="C66" s="41"/>
      <x:c r="D66" s="41"/>
      <x:c r="E66" s="42">
        <x:v>280</x:v>
      </x:c>
      <x:c r="F66" s="42"/>
      <x:c r="G66" s="42"/>
      <x:c r="H66" s="43"/>
      <x:c r="I66" s="43"/>
      <x:c r="J66" s="44">
        <x:v>280.72</x:v>
      </x:c>
      <x:c r="K66" s="44"/>
      <x:c r="L66" s="45"/>
      <x:c r="M66" s="46"/>
      <x:c r="N66" s="46"/>
    </x:row>
    <x:row r="67" ht="20" customHeight="1">
      <x:c r="A67" s="6">
        <x:v>65</x:v>
      </x:c>
      <x:c r="B67" s="41" t="s">
        <x:v>274</x:v>
      </x:c>
      <x:c r="C67" s="41"/>
      <x:c r="D67" s="41"/>
      <x:c r="E67" s="42">
        <x:v>1828.32</x:v>
      </x:c>
      <x:c r="F67" s="42"/>
      <x:c r="G67" s="42"/>
      <x:c r="H67" s="43"/>
      <x:c r="I67" s="43"/>
      <x:c r="J67" s="44">
        <x:v>1828.32</x:v>
      </x:c>
      <x:c r="K67" s="44"/>
      <x:c r="L67" s="45"/>
      <x:c r="M67" s="46"/>
      <x:c r="N67" s="46"/>
    </x:row>
    <x:row r="68" ht="20" customHeight="1">
      <x:c r="A68" s="6">
        <x:v>66</x:v>
      </x:c>
      <x:c r="B68" s="41" t="s">
        <x:v>275</x:v>
      </x:c>
      <x:c r="C68" s="41"/>
      <x:c r="D68" s="41"/>
      <x:c r="E68" s="42"/>
      <x:c r="F68" s="42"/>
      <x:c r="G68" s="42"/>
      <x:c r="H68" s="43"/>
      <x:c r="I68" s="43"/>
      <x:c r="J68" s="44">
        <x:v>1019.25</x:v>
      </x:c>
      <x:c r="K68" s="44"/>
      <x:c r="L68" s="45"/>
      <x:c r="M68" s="46"/>
      <x:c r="N68" s="46"/>
    </x:row>
    <x:row r="69" ht="20" customHeight="1">
      <x:c r="A69" s="1">
        <x:v>67</x:v>
      </x:c>
      <x:c r="B69" s="41" t="s">
        <x:v>276</x:v>
      </x:c>
      <x:c r="C69" s="41"/>
      <x:c r="D69" s="41"/>
      <x:c r="E69" s="42"/>
      <x:c r="F69" s="42"/>
      <x:c r="G69" s="42"/>
      <x:c r="H69" s="43"/>
      <x:c r="I69" s="43"/>
      <x:c r="J69" s="44">
        <x:v>90</x:v>
      </x:c>
      <x:c r="K69" s="44"/>
      <x:c r="L69" s="45"/>
      <x:c r="M69" s="46"/>
      <x:c r="N69" s="46"/>
    </x:row>
    <x:row r="70" ht="20" customHeight="1">
      <x:c r="A70" s="6">
        <x:v>68</x:v>
      </x:c>
      <x:c r="B70" s="41" t="s">
        <x:v>277</x:v>
      </x:c>
      <x:c r="C70" s="41"/>
      <x:c r="D70" s="41"/>
      <x:c r="E70" s="42">
        <x:v>1144.34</x:v>
      </x:c>
      <x:c r="F70" s="42"/>
      <x:c r="G70" s="42"/>
      <x:c r="H70" s="43"/>
      <x:c r="I70" s="43"/>
      <x:c r="J70" s="44">
        <x:v>1143.85</x:v>
      </x:c>
      <x:c r="K70" s="44"/>
      <x:c r="L70" s="45"/>
      <x:c r="M70" s="46"/>
      <x:c r="N70" s="46"/>
    </x:row>
    <x:row r="71" ht="20" customHeight="1">
      <x:c r="A71" s="6">
        <x:v>69</x:v>
      </x:c>
      <x:c r="B71" s="41" t="s">
        <x:v>278</x:v>
      </x:c>
      <x:c r="C71" s="41"/>
      <x:c r="D71" s="41"/>
      <x:c r="E71" s="42">
        <x:v>331.94</x:v>
      </x:c>
      <x:c r="F71" s="42"/>
      <x:c r="G71" s="42"/>
      <x:c r="H71" s="43"/>
      <x:c r="I71" s="43"/>
      <x:c r="J71" s="44">
        <x:v>331.94</x:v>
      </x:c>
      <x:c r="K71" s="44"/>
      <x:c r="L71" s="45"/>
      <x:c r="M71" s="46"/>
      <x:c r="N71" s="46"/>
    </x:row>
    <x:row r="72" ht="20" customHeight="1">
      <x:c r="A72" s="6">
        <x:v>70</x:v>
      </x:c>
      <x:c r="B72" s="41" t="s">
        <x:v>279</x:v>
      </x:c>
      <x:c r="C72" s="41"/>
      <x:c r="D72" s="41"/>
      <x:c r="E72" s="42">
        <x:v>160</x:v>
      </x:c>
      <x:c r="F72" s="42"/>
      <x:c r="G72" s="42"/>
      <x:c r="H72" s="43"/>
      <x:c r="I72" s="43"/>
      <x:c r="J72" s="44">
        <x:v>160</x:v>
      </x:c>
      <x:c r="K72" s="44"/>
      <x:c r="L72" s="45"/>
      <x:c r="M72" s="46"/>
      <x:c r="N72" s="46"/>
    </x:row>
    <x:row r="73" ht="20" customHeight="1">
      <x:c r="A73" s="6">
        <x:v>71</x:v>
      </x:c>
      <x:c r="B73" s="41" t="s">
        <x:v>280</x:v>
      </x:c>
      <x:c r="C73" s="41"/>
      <x:c r="D73" s="41"/>
      <x:c r="E73" s="42">
        <x:v>34</x:v>
      </x:c>
      <x:c r="F73" s="42"/>
      <x:c r="G73" s="42"/>
      <x:c r="H73" s="43"/>
      <x:c r="I73" s="43"/>
      <x:c r="J73" s="44">
        <x:v>34</x:v>
      </x:c>
      <x:c r="K73" s="44"/>
      <x:c r="L73" s="45"/>
      <x:c r="M73" s="46"/>
      <x:c r="N73" s="46"/>
    </x:row>
    <x:row r="74" ht="20" customHeight="1">
      <x:c r="A74" s="1"/>
      <x:c r="B74" s="41" t="s">
        <x:v>281</x:v>
      </x:c>
      <x:c r="C74" s="41"/>
      <x:c r="D74" s="41"/>
      <x:c r="E74" s="42"/>
      <x:c r="F74" s="42"/>
      <x:c r="G74" s="42"/>
      <x:c r="H74" s="43"/>
      <x:c r="I74" s="43"/>
      <x:c r="J74" s="44">
        <x:v>2204</x:v>
      </x:c>
      <x:c r="K74" s="44"/>
      <x:c r="L74" s="45"/>
      <x:c r="M74" s="46"/>
      <x:c r="N74" s="46"/>
    </x:row>
    <x:row r="75" ht="20" customHeight="1">
      <x:c r="A75" s="59"/>
      <x:c r="B75" s="41" t="s">
        <x:v>282</x:v>
      </x:c>
      <x:c r="C75" s="41"/>
      <x:c r="D75" s="41"/>
      <x:c r="E75" s="42" t="n">
        <x:v>225</x:v>
      </x:c>
      <x:c r="F75" s="42"/>
      <x:c r="G75" s="42"/>
      <x:c r="H75" s="43"/>
      <x:c r="I75" s="43"/>
      <x:c r="J75" s="44">
        <x:v>225</x:v>
      </x:c>
      <x:c r="K75" s="44"/>
      <x:c r="L75" s="45"/>
      <x:c r="M75" s="46"/>
      <x:c r="N75" s="46"/>
      <x:c r="O75" s="60" t="str">
        <x:v>已付款</x:v>
      </x:c>
    </x:row>
    <x:row r="76" ht="20" customHeight="1">
      <x:c r="A76" s="1"/>
      <x:c r="B76" s="41" t="s">
        <x:v>283</x:v>
      </x:c>
      <x:c r="C76" s="41"/>
      <x:c r="D76" s="41"/>
      <x:c r="E76" s="42"/>
      <x:c r="F76" s="42"/>
      <x:c r="G76" s="42"/>
      <x:c r="H76" s="43"/>
      <x:c r="I76" s="43"/>
      <x:c r="J76" s="44">
        <x:v>764.5</x:v>
      </x:c>
      <x:c r="K76" s="44"/>
      <x:c r="L76" s="45"/>
      <x:c r="M76" s="46"/>
      <x:c r="N76" s="46"/>
    </x:row>
    <x:row r="77" ht="20" customHeight="1">
      <x:c r="A77" s="1"/>
      <x:c r="B77" s="41" t="s">
        <x:v>284</x:v>
      </x:c>
      <x:c r="C77" s="41"/>
      <x:c r="D77" s="41"/>
      <x:c r="E77" s="42"/>
      <x:c r="F77" s="42"/>
      <x:c r="G77" s="42"/>
      <x:c r="H77" s="43"/>
      <x:c r="I77" s="43"/>
      <x:c r="J77" s="44">
        <x:v>2262.55</x:v>
      </x:c>
      <x:c r="K77" s="44"/>
      <x:c r="L77" s="45"/>
      <x:c r="M77" s="46"/>
      <x:c r="N77" s="46"/>
    </x:row>
    <x:row r="78" ht="20" customHeight="1">
      <x:c r="A78" s="1"/>
      <x:c r="B78" s="41" t="s">
        <x:v>285</x:v>
      </x:c>
      <x:c r="C78" s="41"/>
      <x:c r="D78" s="41"/>
      <x:c r="E78" s="42"/>
      <x:c r="F78" s="42"/>
      <x:c r="G78" s="42"/>
      <x:c r="H78" s="43"/>
      <x:c r="I78" s="43"/>
      <x:c r="J78" s="44">
        <x:v>353.77</x:v>
      </x:c>
      <x:c r="K78" s="44"/>
      <x:c r="L78" s="45"/>
      <x:c r="M78" s="46"/>
      <x:c r="N78" s="46"/>
    </x:row>
    <x:row r="79" ht="20" customHeight="1">
      <x:c r="A79" s="1"/>
      <x:c r="B79" s="41" t="s">
        <x:v>286</x:v>
      </x:c>
      <x:c r="C79" s="41"/>
      <x:c r="D79" s="41"/>
      <x:c r="E79" s="42"/>
      <x:c r="F79" s="42"/>
      <x:c r="G79" s="42"/>
      <x:c r="H79" s="43"/>
      <x:c r="I79" s="43"/>
      <x:c r="J79" s="44">
        <x:v>595.13</x:v>
      </x:c>
      <x:c r="K79" s="44"/>
      <x:c r="L79" s="45"/>
      <x:c r="M79" s="46"/>
      <x:c r="N79" s="46"/>
    </x:row>
    <x:row r="80" ht="20" customHeight="1">
      <x:c r="A80" s="1"/>
      <x:c r="B80" s="41" t="s">
        <x:v>287</x:v>
      </x:c>
      <x:c r="C80" s="41"/>
      <x:c r="D80" s="41"/>
      <x:c r="E80" s="42"/>
      <x:c r="F80" s="42"/>
      <x:c r="G80" s="42"/>
      <x:c r="H80" s="43"/>
      <x:c r="I80" s="43"/>
      <x:c r="J80" s="44">
        <x:v>289.03</x:v>
      </x:c>
      <x:c r="K80" s="44"/>
      <x:c r="L80" s="45"/>
      <x:c r="M80" s="46"/>
      <x:c r="N80" s="46"/>
    </x:row>
    <x:row r="81" ht="20" customHeight="1">
      <x:c r="A81" s="1"/>
      <x:c r="B81" s="41"/>
      <x:c r="C81" s="41"/>
      <x:c r="D81" s="41"/>
      <x:c r="E81" s="42"/>
      <x:c r="F81" s="42"/>
      <x:c r="G81" s="42"/>
      <x:c r="H81" s="43"/>
      <x:c r="I81" s="43"/>
      <x:c r="J81" s="44"/>
      <x:c r="K81" s="44"/>
      <x:c r="L81" s="45"/>
      <x:c r="M81" s="46"/>
      <x:c r="N81" s="46"/>
    </x:row>
    <x:row r="82" ht="20" customHeight="1">
      <x:c r="A82" s="1"/>
      <x:c r="B82" s="41"/>
      <x:c r="C82" s="41"/>
      <x:c r="D82" s="41"/>
      <x:c r="E82" s="42"/>
      <x:c r="F82" s="42"/>
      <x:c r="G82" s="42"/>
      <x:c r="H82" s="43"/>
      <x:c r="I82" s="43"/>
      <x:c r="J82" s="44"/>
      <x:c r="K82" s="44"/>
      <x:c r="L82" s="45"/>
      <x:c r="M82" s="46"/>
      <x:c r="N82" s="46"/>
    </x:row>
    <x:row r="83" ht="20" customHeight="1">
      <x:c r="A83" s="1"/>
      <x:c r="B83" s="41"/>
      <x:c r="C83" s="41"/>
      <x:c r="D83" s="41"/>
      <x:c r="E83" s="42"/>
      <x:c r="F83" s="42"/>
      <x:c r="G83" s="42"/>
      <x:c r="H83" s="43"/>
      <x:c r="I83" s="43"/>
      <x:c r="J83" s="44"/>
      <x:c r="K83" s="44"/>
      <x:c r="L83" s="45"/>
      <x:c r="M83" s="46"/>
      <x:c r="N83" s="46"/>
    </x:row>
    <x:row r="84" ht="20" customHeight="1">
      <x:c r="A84" s="1"/>
      <x:c r="B84" s="41"/>
      <x:c r="C84" s="41"/>
      <x:c r="D84" s="41"/>
      <x:c r="E84" s="42"/>
      <x:c r="F84" s="42"/>
      <x:c r="G84" s="42"/>
      <x:c r="H84" s="43"/>
      <x:c r="I84" s="43"/>
      <x:c r="J84" s="44"/>
      <x:c r="K84" s="44"/>
      <x:c r="L84" s="45"/>
      <x:c r="M84" s="46"/>
      <x:c r="N84" s="46"/>
    </x:row>
    <x:row r="85" ht="20" customHeight="1">
      <x:c r="A85" s="1"/>
      <x:c r="B85" s="41"/>
      <x:c r="C85" s="41"/>
      <x:c r="D85" s="41"/>
      <x:c r="E85" s="42"/>
      <x:c r="F85" s="42"/>
      <x:c r="G85" s="42"/>
      <x:c r="H85" s="43"/>
      <x:c r="I85" s="43"/>
      <x:c r="J85" s="44"/>
      <x:c r="K85" s="44"/>
      <x:c r="L85" s="45"/>
      <x:c r="M85" s="46"/>
      <x:c r="N85" s="46"/>
    </x:row>
    <x:row r="86" ht="20" customHeight="1">
      <x:c r="A86" s="1"/>
      <x:c r="B86" s="41"/>
      <x:c r="C86" s="41"/>
      <x:c r="D86" s="41"/>
      <x:c r="E86" s="42"/>
      <x:c r="F86" s="42"/>
      <x:c r="G86" s="42"/>
      <x:c r="H86" s="43"/>
      <x:c r="I86" s="43"/>
      <x:c r="J86" s="44"/>
      <x:c r="K86" s="44"/>
      <x:c r="L86" s="45"/>
      <x:c r="M86" s="46"/>
      <x:c r="N86" s="46"/>
    </x:row>
    <x:row r="87" ht="20" customHeight="1">
      <x:c r="A87" s="1"/>
      <x:c r="B87" s="41"/>
      <x:c r="C87" s="41"/>
      <x:c r="D87" s="41"/>
      <x:c r="E87" s="42"/>
      <x:c r="F87" s="42"/>
      <x:c r="G87" s="42"/>
      <x:c r="H87" s="43"/>
      <x:c r="I87" s="43"/>
      <x:c r="J87" s="44"/>
      <x:c r="K87" s="44"/>
      <x:c r="L87" s="45"/>
      <x:c r="M87" s="46"/>
      <x:c r="N87" s="46"/>
    </x:row>
    <x:row r="88" ht="20" customHeight="1">
      <x:c r="A88" s="1"/>
      <x:c r="B88" s="41"/>
      <x:c r="C88" s="41"/>
      <x:c r="D88" s="41"/>
      <x:c r="E88" s="42"/>
      <x:c r="F88" s="42"/>
      <x:c r="G88" s="42"/>
      <x:c r="H88" s="43"/>
      <x:c r="I88" s="43"/>
      <x:c r="J88" s="44"/>
      <x:c r="K88" s="44"/>
      <x:c r="L88" s="45"/>
      <x:c r="M88" s="46"/>
      <x:c r="N88" s="46"/>
    </x:row>
    <x:row r="89" ht="20" customHeight="1">
      <x:c r="A89" s="1"/>
      <x:c r="B89" s="41"/>
      <x:c r="C89" s="41"/>
      <x:c r="D89" s="41"/>
      <x:c r="E89" s="42"/>
      <x:c r="F89" s="42"/>
      <x:c r="G89" s="42"/>
      <x:c r="H89" s="43"/>
      <x:c r="I89" s="43"/>
      <x:c r="J89" s="44"/>
      <x:c r="K89" s="44"/>
      <x:c r="L89" s="45"/>
      <x:c r="M89" s="46"/>
      <x:c r="N89" s="46"/>
    </x:row>
    <x:row r="90" ht="20" customHeight="1">
      <x:c r="A90" s="1"/>
      <x:c r="B90" s="41"/>
      <x:c r="C90" s="41"/>
      <x:c r="D90" s="41"/>
      <x:c r="E90" s="42"/>
      <x:c r="F90" s="42"/>
      <x:c r="G90" s="42"/>
      <x:c r="H90" s="43"/>
      <x:c r="I90" s="43"/>
      <x:c r="J90" s="44"/>
      <x:c r="K90" s="44"/>
      <x:c r="L90" s="45"/>
      <x:c r="M90" s="46"/>
      <x:c r="N90" s="46"/>
    </x:row>
    <x:row r="91" ht="20" customHeight="1">
      <x:c r="A91" s="1"/>
      <x:c r="B91" s="26"/>
      <x:c r="C91" s="41"/>
      <x:c r="D91" s="41"/>
      <x:c r="E91" s="42"/>
      <x:c r="F91" s="42"/>
      <x:c r="G91" s="42"/>
      <x:c r="H91" s="43"/>
      <x:c r="I91" s="43"/>
      <x:c r="J91" s="44"/>
      <x:c r="K91" s="44"/>
      <x:c r="L91" s="45"/>
      <x:c r="M91" s="46"/>
      <x:c r="N91" s="46"/>
    </x:row>
    <x:row r="92" ht="20" customHeight="1">
      <x:c r="A92" s="1"/>
      <x:c r="B92" s="26"/>
      <x:c r="C92" s="41"/>
      <x:c r="D92" s="41"/>
      <x:c r="E92" s="42"/>
      <x:c r="F92" s="42"/>
      <x:c r="G92" s="42"/>
      <x:c r="H92" s="43"/>
      <x:c r="I92" s="43"/>
      <x:c r="J92" s="44"/>
      <x:c r="K92" s="44"/>
      <x:c r="L92" s="45"/>
      <x:c r="M92" s="46"/>
      <x:c r="N92" s="46"/>
    </x:row>
    <x:row r="93" ht="20" customHeight="1"/>
    <x:row r="94" ht="20" customHeight="1">
      <x:c r="B94" s="48"/>
      <x:c r="C94" s="48"/>
      <x:c r="D94" s="48"/>
      <x:c r="E94" s="49"/>
      <x:c r="F94" s="49"/>
      <x:c r="G94" s="49"/>
      <x:c r="H94" s="50"/>
      <x:c r="I94" s="50"/>
      <x:c r="J94" s="51"/>
      <x:c r="K94" s="51"/>
      <x:c r="L94" s="52"/>
      <x:c r="M94" s="53"/>
      <x:c r="N94" s="53"/>
    </x:row>
    <x:row r="95" ht="20" customHeight="1">
      <x:c r="B95" s="48"/>
      <x:c r="C95" s="48"/>
      <x:c r="D95" s="48"/>
      <x:c r="E95" s="49"/>
      <x:c r="F95" s="49"/>
      <x:c r="G95" s="49"/>
      <x:c r="H95" s="50"/>
      <x:c r="I95" s="50"/>
      <x:c r="J95" s="51"/>
      <x:c r="K95" s="51"/>
      <x:c r="L95" s="52"/>
      <x:c r="M95" s="53"/>
      <x:c r="N95" s="53"/>
    </x:row>
    <x:row r="96" ht="20" customHeight="1">
      <x:c r="B96" s="48"/>
      <x:c r="C96" s="48"/>
      <x:c r="D96" s="48"/>
      <x:c r="E96" s="49"/>
      <x:c r="F96" s="49"/>
      <x:c r="G96" s="49"/>
      <x:c r="H96" s="50"/>
      <x:c r="I96" s="50"/>
      <x:c r="J96" s="51"/>
      <x:c r="K96" s="51"/>
      <x:c r="L96" s="52"/>
      <x:c r="M96" s="53"/>
      <x:c r="N96" s="53"/>
    </x:row>
    <x:row r="97" ht="24" customHeight="1">
      <x:c r="B97" s="54" t="s">
        <x:v>288</x:v>
      </x:c>
      <x:c r="C97" s="54"/>
      <x:c r="D97" s="54"/>
      <x:c r="E97" s="55"/>
      <x:c r="F97" s="55" t="s">
        <x:v>271</x:v>
      </x:c>
      <x:c r="G97" s="55" t="s">
        <x:v>271</x:v>
      </x:c>
      <x:c r="H97" s="55" t="s">
        <x:v>271</x:v>
      </x:c>
      <x:c r="I97" s="55" t="s">
        <x:v>271</x:v>
      </x:c>
      <x:c r="J97" s="56" t="n">
        <x:f>SUM(J5:J92)</x:f>
        <x:v>55090.15999999999</x:v>
      </x:c>
      <x:c r="K97" s="56" t="n">
        <x:f>SUM(K5:K92)</x:f>
        <x:v>963.82</x:v>
      </x:c>
      <x:c r="L97" s="55" t="s">
        <x:v>271</x:v>
      </x:c>
      <x:c r="M97" s="55" t="s">
        <x:v>271</x:v>
      </x:c>
      <x:c r="N97" s="55" t="s">
        <x:v>271</x:v>
      </x:c>
    </x:row>
    <x:row r="98" ht="15.949999809265137"/>
  </x:sheetData>
  <x:mergeCells>
    <x:mergeCell ref="B1:N1"/>
    <x:mergeCell ref="B2:N2"/>
    <x:mergeCell ref="B97:I97"/>
  </x:mergeCells>
  <x:pageMargins left="0.7" right="0.7" top="0.75" bottom="0.75" header="0.3" footer="0.3"/>
</x:worksheet>
</file>